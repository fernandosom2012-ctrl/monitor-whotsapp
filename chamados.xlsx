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mados" sheetId="1" state="visible" r:id="rId1"/>
    <sheet name="Resumo" sheetId="2" state="visible" r:id="rId2"/>
  </sheets>
  <definedNames>
    <definedName name="_xlnm._FilterDatabase" localSheetId="0" hidden="1">'Chamados'!$A$1:$G$140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4444"/>
      </patternFill>
    </fill>
    <fill>
      <patternFill patternType="solid">
        <fgColor rgb="00FFC000"/>
      </patternFill>
    </fill>
    <fill>
      <patternFill patternType="solid">
        <fgColor rgb="00FFA500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/>
    </xf>
    <xf numFmtId="0" fontId="0" fillId="0" borderId="2" pivotButton="0" quotePrefix="0" xfId="0"/>
    <xf numFmtId="0" fontId="3" fillId="0" borderId="2" pivotButton="0" quotePrefix="0" xfId="0"/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20" customWidth="1" min="4" max="4"/>
    <col width="50" customWidth="1" min="5" max="5"/>
    <col width="12" customWidth="1" min="6" max="6"/>
    <col width="14" customWidth="1" min="7" max="7"/>
  </cols>
  <sheetData>
    <row r="1" ht="30" customHeight="1">
      <c r="A1" s="1" t="inlineStr">
        <is>
          <t>ID Chamado</t>
        </is>
      </c>
      <c r="B1" s="1" t="inlineStr">
        <is>
          <t>Data/Hora</t>
        </is>
      </c>
      <c r="C1" s="1" t="inlineStr">
        <is>
          <t>Solicitante</t>
        </is>
      </c>
      <c r="D1" s="1" t="inlineStr">
        <is>
          <t>Setor</t>
        </is>
      </c>
      <c r="E1" s="1" t="inlineStr">
        <is>
          <t>Descrição</t>
        </is>
      </c>
      <c r="F1" s="1" t="inlineStr">
        <is>
          <t>Prioridade</t>
        </is>
      </c>
      <c r="G1" s="1" t="inlineStr">
        <is>
          <t>Status</t>
        </is>
      </c>
    </row>
    <row r="2" ht="35" customHeight="1">
      <c r="A2" s="5" t="inlineStr">
        <is>
          <t>CH-2026-0001</t>
        </is>
      </c>
      <c r="B2" s="5" t="inlineStr">
        <is>
          <t>04/05/2026 13:58</t>
        </is>
      </c>
      <c r="C2" s="5" t="inlineStr">
        <is>
          <t>Fernando</t>
        </is>
      </c>
      <c r="D2" s="5" t="inlineStr">
        <is>
          <t>Farmacia</t>
        </is>
      </c>
      <c r="E2" s="5" t="inlineStr">
        <is>
          <t>problema na impressoraEditada</t>
        </is>
      </c>
      <c r="F2" s="6" t="inlineStr">
        <is>
          <t>Alta</t>
        </is>
      </c>
      <c r="G2" s="7" t="inlineStr">
        <is>
          <t>Aberto</t>
        </is>
      </c>
    </row>
    <row r="3" ht="35" customHeight="1">
      <c r="A3" s="8" t="inlineStr">
        <is>
          <t>CH-2026-0002</t>
        </is>
      </c>
      <c r="B3" s="8" t="inlineStr">
        <is>
          <t>04/05/2026 17:00</t>
        </is>
      </c>
      <c r="C3" s="8" t="inlineStr">
        <is>
          <t>GLEYKA</t>
        </is>
      </c>
      <c r="D3" s="8" t="inlineStr">
        <is>
          <t>SERVIÇO SOCIAL</t>
        </is>
      </c>
      <c r="E3" s="8" t="inlineStr">
        <is>
          <t>IMPRESSORA NÃO ESTA IMPRIMINDO</t>
        </is>
      </c>
      <c r="F3" s="6" t="inlineStr">
        <is>
          <t>Alta</t>
        </is>
      </c>
      <c r="G3" s="7" t="inlineStr">
        <is>
          <t>Aberto</t>
        </is>
      </c>
    </row>
    <row r="4" ht="35" customHeight="1">
      <c r="A4" s="5" t="inlineStr">
        <is>
          <t>CH-2026-0003</t>
        </is>
      </c>
      <c r="B4" s="5" t="inlineStr">
        <is>
          <t>04/05/2026 17:16</t>
        </is>
      </c>
      <c r="C4" s="5" t="inlineStr">
        <is>
          <t>Mayara</t>
        </is>
      </c>
      <c r="D4" s="5" t="inlineStr">
        <is>
          <t>PA PED</t>
        </is>
      </c>
      <c r="E4" s="5" t="inlineStr">
        <is>
          <t>TOTEM NÃO ESTA IMPRIMINDO</t>
        </is>
      </c>
      <c r="F4" s="6" t="inlineStr">
        <is>
          <t>Alta</t>
        </is>
      </c>
      <c r="G4" s="7" t="inlineStr">
        <is>
          <t>Aberto</t>
        </is>
      </c>
    </row>
    <row r="5" ht="35" customHeight="1">
      <c r="A5" s="8" t="inlineStr">
        <is>
          <t>CH-2026-0004</t>
        </is>
      </c>
      <c r="B5" s="8" t="inlineStr">
        <is>
          <t>04/05/2026 18:49</t>
        </is>
      </c>
      <c r="C5" s="8" t="inlineStr">
        <is>
          <t>Mayara</t>
        </is>
      </c>
      <c r="D5" s="8" t="inlineStr">
        <is>
          <t>SPA</t>
        </is>
      </c>
      <c r="E5" s="8" t="inlineStr">
        <is>
          <t>TOTEM NÃO ESTA IMPRIMINDO</t>
        </is>
      </c>
      <c r="F5" s="6" t="inlineStr">
        <is>
          <t>Alta</t>
        </is>
      </c>
      <c r="G5" s="7" t="inlineStr">
        <is>
          <t>Aberto</t>
        </is>
      </c>
    </row>
    <row r="6" ht="35" customHeight="1">
      <c r="A6" s="5" t="inlineStr">
        <is>
          <t>CH-2026-0005</t>
        </is>
      </c>
      <c r="B6" s="5" t="inlineStr">
        <is>
          <t>04/05/2026 20:24</t>
        </is>
      </c>
      <c r="C6" s="5" t="inlineStr">
        <is>
          <t>Manu</t>
        </is>
      </c>
      <c r="D6" s="5" t="inlineStr">
        <is>
          <t>Farmácia central</t>
        </is>
      </c>
      <c r="E6" s="5" t="inlineStr">
        <is>
          <t>Desbloqueio de usuária</t>
        </is>
      </c>
      <c r="F6" s="6" t="inlineStr">
        <is>
          <t>Alta</t>
        </is>
      </c>
      <c r="G6" s="7" t="inlineStr">
        <is>
          <t>Aberto</t>
        </is>
      </c>
    </row>
    <row r="7" ht="35" customHeight="1">
      <c r="A7" s="8" t="inlineStr">
        <is>
          <t>CH-2026-0006</t>
        </is>
      </c>
      <c r="B7" s="8" t="inlineStr">
        <is>
          <t>04/05/2026 21:07</t>
        </is>
      </c>
      <c r="C7" s="8" t="inlineStr">
        <is>
          <t>Marina</t>
        </is>
      </c>
      <c r="D7" s="8" t="inlineStr">
        <is>
          <t>Ala B</t>
        </is>
      </c>
      <c r="E7" s="8" t="inlineStr">
        <is>
          <t>Impressora sem funcionar</t>
        </is>
      </c>
      <c r="F7" s="6" t="inlineStr">
        <is>
          <t>Alta</t>
        </is>
      </c>
      <c r="G7" s="7" t="inlineStr">
        <is>
          <t>Aberto</t>
        </is>
      </c>
    </row>
    <row r="8" ht="35" customHeight="1">
      <c r="A8" s="5" t="inlineStr">
        <is>
          <t>CH-2026-0007</t>
        </is>
      </c>
      <c r="B8" s="5" t="inlineStr">
        <is>
          <t>04/05/2026 22:54</t>
        </is>
      </c>
      <c r="C8" s="5" t="inlineStr">
        <is>
          <t>José</t>
        </is>
      </c>
      <c r="D8" s="5" t="inlineStr">
        <is>
          <t>CPN</t>
        </is>
      </c>
      <c r="E8" s="5" t="inlineStr">
        <is>
          <t>Office sem funcionar</t>
        </is>
      </c>
      <c r="F8" s="6" t="inlineStr">
        <is>
          <t>Alta</t>
        </is>
      </c>
      <c r="G8" s="7" t="inlineStr">
        <is>
          <t>Aberto</t>
        </is>
      </c>
    </row>
    <row r="9" ht="35" customHeight="1">
      <c r="A9" s="8" t="inlineStr">
        <is>
          <t>CH-2026-0008</t>
        </is>
      </c>
      <c r="B9" s="8" t="inlineStr">
        <is>
          <t>05/05/2026 07:40</t>
        </is>
      </c>
      <c r="C9" s="8" t="inlineStr">
        <is>
          <t>Thaynara Richelly</t>
        </is>
      </c>
      <c r="D9" s="8" t="inlineStr">
        <is>
          <t>Ala B</t>
        </is>
      </c>
      <c r="E9" s="8" t="inlineStr">
        <is>
          <t>Impressora obstruindo</t>
        </is>
      </c>
      <c r="F9" s="6" t="inlineStr">
        <is>
          <t>Alta</t>
        </is>
      </c>
      <c r="G9" s="7" t="inlineStr">
        <is>
          <t>Aberto</t>
        </is>
      </c>
    </row>
    <row r="10" ht="35" customHeight="1">
      <c r="A10" s="5" t="inlineStr">
        <is>
          <t>CH-2026-0009</t>
        </is>
      </c>
      <c r="B10" s="5" t="inlineStr">
        <is>
          <t>05/05/2026 08:43</t>
        </is>
      </c>
      <c r="C10" s="5" t="inlineStr">
        <is>
          <t>Jordana</t>
        </is>
      </c>
      <c r="D10" s="5" t="inlineStr">
        <is>
          <t>farmacia satélite</t>
        </is>
      </c>
      <c r="E10" s="5" t="inlineStr">
        <is>
          <t>Office sem funcionar</t>
        </is>
      </c>
      <c r="F10" s="6" t="inlineStr">
        <is>
          <t>Alta</t>
        </is>
      </c>
      <c r="G10" s="7" t="inlineStr">
        <is>
          <t>Aberto</t>
        </is>
      </c>
    </row>
    <row r="11" ht="35" customHeight="1">
      <c r="A11" s="8" t="inlineStr">
        <is>
          <t>CH-2026-0010</t>
        </is>
      </c>
      <c r="B11" s="8" t="inlineStr">
        <is>
          <t>05/05/2026 09:30</t>
        </is>
      </c>
      <c r="C11" s="8" t="inlineStr">
        <is>
          <t>kenia</t>
        </is>
      </c>
      <c r="D11" s="8" t="inlineStr">
        <is>
          <t>classificação de risco pa ped</t>
        </is>
      </c>
      <c r="E11" s="8" t="inlineStr">
        <is>
          <t>Impressora obstruída</t>
        </is>
      </c>
      <c r="F11" s="6" t="inlineStr">
        <is>
          <t>Alta</t>
        </is>
      </c>
      <c r="G11" s="7" t="inlineStr">
        <is>
          <t>Aberto</t>
        </is>
      </c>
    </row>
    <row r="12" ht="35" customHeight="1">
      <c r="A12" s="5" t="inlineStr">
        <is>
          <t>CH-2026-0011</t>
        </is>
      </c>
      <c r="B12" s="5" t="inlineStr">
        <is>
          <t>05/05/2026 09:37</t>
        </is>
      </c>
      <c r="C12" s="5" t="inlineStr">
        <is>
          <t>Maria Laíse</t>
        </is>
      </c>
      <c r="D12" s="5" t="inlineStr">
        <is>
          <t>Posto de enfermagem Pediatria - Ala D</t>
        </is>
      </c>
      <c r="E12" s="5" t="inlineStr">
        <is>
          <t>Ramal não está funcionando</t>
        </is>
      </c>
      <c r="F12" s="6" t="inlineStr">
        <is>
          <t>Alta</t>
        </is>
      </c>
      <c r="G12" s="7" t="inlineStr">
        <is>
          <t>Aberto</t>
        </is>
      </c>
    </row>
    <row r="13" ht="35" customHeight="1">
      <c r="A13" s="8" t="inlineStr">
        <is>
          <t>CH-2026-0012</t>
        </is>
      </c>
      <c r="B13" s="8" t="inlineStr">
        <is>
          <t>05/05/2026 12:11</t>
        </is>
      </c>
      <c r="C13" s="8" t="inlineStr">
        <is>
          <t>Paulina</t>
        </is>
      </c>
      <c r="D13" s="8" t="inlineStr">
        <is>
          <t>Ala C</t>
        </is>
      </c>
      <c r="E13" s="8" t="inlineStr">
        <is>
          <t>Ramal não está funcionando e impressora não funciona</t>
        </is>
      </c>
      <c r="F13" s="6" t="inlineStr">
        <is>
          <t>Alta</t>
        </is>
      </c>
      <c r="G13" s="7" t="inlineStr">
        <is>
          <t>Aberto</t>
        </is>
      </c>
    </row>
    <row r="14" ht="35" customHeight="1">
      <c r="A14" s="5" t="inlineStr">
        <is>
          <t>CH-2026-0013</t>
        </is>
      </c>
      <c r="B14" s="5" t="inlineStr">
        <is>
          <t>05/05/2026 14:37</t>
        </is>
      </c>
      <c r="C14" s="5" t="inlineStr">
        <is>
          <t>Paulina</t>
        </is>
      </c>
      <c r="D14" s="5" t="inlineStr">
        <is>
          <t>Radiologia</t>
        </is>
      </c>
      <c r="E14" s="5" t="inlineStr">
        <is>
          <t>impressora da sala de Tomografia sem tinta preta.</t>
        </is>
      </c>
      <c r="F14" s="6" t="inlineStr">
        <is>
          <t>Alta</t>
        </is>
      </c>
      <c r="G14" s="7" t="inlineStr">
        <is>
          <t>Aberto</t>
        </is>
      </c>
    </row>
    <row r="15" ht="35" customHeight="1">
      <c r="A15" s="8" t="inlineStr">
        <is>
          <t>CH-2026-0014</t>
        </is>
      </c>
      <c r="B15" s="8" t="inlineStr">
        <is>
          <t>05/05/2026 14:45</t>
        </is>
      </c>
      <c r="C15" s="8" t="inlineStr">
        <is>
          <t>Elismaria</t>
        </is>
      </c>
      <c r="D15" s="8" t="inlineStr">
        <is>
          <t>PA.PED</t>
        </is>
      </c>
      <c r="E15" s="8" t="inlineStr">
        <is>
          <t>totem</t>
        </is>
      </c>
      <c r="F15" s="6" t="inlineStr">
        <is>
          <t>Alta</t>
        </is>
      </c>
      <c r="G15" s="7" t="inlineStr">
        <is>
          <t>Aberto</t>
        </is>
      </c>
    </row>
    <row r="16" ht="35" customHeight="1">
      <c r="A16" s="5" t="inlineStr">
        <is>
          <t>CH-2026-0015</t>
        </is>
      </c>
      <c r="B16" s="5" t="inlineStr">
        <is>
          <t>05/05/2026 16:18</t>
        </is>
      </c>
      <c r="C16" s="5" t="inlineStr">
        <is>
          <t>Magno</t>
        </is>
      </c>
      <c r="D16" s="5" t="inlineStr">
        <is>
          <t>UTI 2</t>
        </is>
      </c>
      <c r="E16" s="5" t="inlineStr">
        <is>
          <t>impressora com defeito</t>
        </is>
      </c>
      <c r="F16" s="6" t="inlineStr">
        <is>
          <t>Alta</t>
        </is>
      </c>
      <c r="G16" s="7" t="inlineStr">
        <is>
          <t>Aberto</t>
        </is>
      </c>
    </row>
    <row r="17" ht="35" customHeight="1">
      <c r="A17" s="8" t="inlineStr">
        <is>
          <t>CH-2026-0016</t>
        </is>
      </c>
      <c r="B17" s="8" t="inlineStr">
        <is>
          <t>05/05/2026 17:05</t>
        </is>
      </c>
      <c r="C17" s="8" t="inlineStr">
        <is>
          <t>Paulina</t>
        </is>
      </c>
      <c r="D17" s="8" t="inlineStr">
        <is>
          <t>Ala C</t>
        </is>
      </c>
      <c r="E17" s="8" t="inlineStr">
        <is>
          <t>computador sem internet</t>
        </is>
      </c>
      <c r="F17" s="6" t="inlineStr">
        <is>
          <t>Alta</t>
        </is>
      </c>
      <c r="G17" s="7" t="inlineStr">
        <is>
          <t>Aberto</t>
        </is>
      </c>
    </row>
    <row r="18" ht="35" customHeight="1">
      <c r="A18" s="5" t="inlineStr">
        <is>
          <t>CH-2026-0017</t>
        </is>
      </c>
      <c r="B18" s="5" t="inlineStr">
        <is>
          <t>07/05/2026 10:14</t>
        </is>
      </c>
      <c r="C18" s="5" t="inlineStr">
        <is>
          <t>Elismaria</t>
        </is>
      </c>
      <c r="D18" s="5" t="inlineStr">
        <is>
          <t>PA.PED</t>
        </is>
      </c>
      <c r="E18" s="5" t="inlineStr">
        <is>
          <t>totem sem bobina</t>
        </is>
      </c>
      <c r="F18" s="12" t="inlineStr">
        <is>
          <t>Média</t>
        </is>
      </c>
      <c r="G18" s="7" t="inlineStr">
        <is>
          <t>Aberto</t>
        </is>
      </c>
    </row>
    <row r="19" ht="35" customHeight="1">
      <c r="A19" s="8" t="inlineStr">
        <is>
          <t>CH-2026-0018</t>
        </is>
      </c>
      <c r="B19" s="8" t="inlineStr">
        <is>
          <t>07/05/2026 11:03</t>
        </is>
      </c>
      <c r="C19" s="8" t="inlineStr">
        <is>
          <t>Camila</t>
        </is>
      </c>
      <c r="D19" s="8" t="inlineStr">
        <is>
          <t>sala vermelha</t>
        </is>
      </c>
      <c r="E19" s="8" t="inlineStr">
        <is>
          <t>impressora com problema</t>
        </is>
      </c>
      <c r="F19" s="6" t="inlineStr">
        <is>
          <t>Alta</t>
        </is>
      </c>
      <c r="G19" s="7" t="inlineStr">
        <is>
          <t>Aberto</t>
        </is>
      </c>
    </row>
    <row r="20" ht="35" customHeight="1">
      <c r="A20" s="5" t="inlineStr">
        <is>
          <t>CH-2026-0019</t>
        </is>
      </c>
      <c r="B20" s="5" t="inlineStr">
        <is>
          <t>07/05/2026 11:10</t>
        </is>
      </c>
      <c r="C20" s="5" t="inlineStr">
        <is>
          <t>sinaria</t>
        </is>
      </c>
      <c r="D20" s="5" t="inlineStr">
        <is>
          <t>sala da endoscopia</t>
        </is>
      </c>
      <c r="E20" s="5" t="inlineStr">
        <is>
          <t>sem</t>
        </is>
      </c>
      <c r="F20" s="6" t="inlineStr">
        <is>
          <t>Alta</t>
        </is>
      </c>
      <c r="G20" s="7" t="inlineStr">
        <is>
          <t>Aberto</t>
        </is>
      </c>
    </row>
    <row r="21" ht="35" customHeight="1">
      <c r="A21" s="8" t="inlineStr">
        <is>
          <t>CH-2026-0020</t>
        </is>
      </c>
      <c r="B21" s="8" t="inlineStr">
        <is>
          <t>07/05/2026 11:12</t>
        </is>
      </c>
      <c r="C21" s="8" t="inlineStr">
        <is>
          <t>Rita</t>
        </is>
      </c>
      <c r="D21" s="8" t="inlineStr">
        <is>
          <t>Alojamento conjunto</t>
        </is>
      </c>
      <c r="E21" s="8" t="inlineStr">
        <is>
          <t>impressora com problema</t>
        </is>
      </c>
      <c r="F21" s="6" t="inlineStr">
        <is>
          <t>Alta</t>
        </is>
      </c>
      <c r="G21" s="7" t="inlineStr">
        <is>
          <t>Aberto</t>
        </is>
      </c>
    </row>
    <row r="22" ht="35" customHeight="1">
      <c r="A22" s="5" t="inlineStr">
        <is>
          <t>CH-2026-0021</t>
        </is>
      </c>
      <c r="B22" s="5" t="inlineStr">
        <is>
          <t>07/05/2026 11:37</t>
        </is>
      </c>
      <c r="C22" s="5" t="inlineStr">
        <is>
          <t>Amanda</t>
        </is>
      </c>
      <c r="D22" s="5" t="inlineStr">
        <is>
          <t>laboratório</t>
        </is>
      </c>
      <c r="E22" s="5" t="inlineStr">
        <is>
          <t>sem internet</t>
        </is>
      </c>
      <c r="F22" s="6" t="inlineStr">
        <is>
          <t>Alta</t>
        </is>
      </c>
      <c r="G22" s="7" t="inlineStr">
        <is>
          <t>Aberto</t>
        </is>
      </c>
    </row>
    <row r="23" ht="35" customHeight="1">
      <c r="A23" s="8" t="inlineStr">
        <is>
          <t>CH-2026-0022</t>
        </is>
      </c>
      <c r="B23" s="8" t="inlineStr">
        <is>
          <t>07/05/2026 11:37</t>
        </is>
      </c>
      <c r="C23" s="8" t="inlineStr">
        <is>
          <t>Caroline</t>
        </is>
      </c>
      <c r="D23" s="8" t="inlineStr">
        <is>
          <t>NIR</t>
        </is>
      </c>
      <c r="E23" s="8" t="inlineStr">
        <is>
          <t>setor sem internet</t>
        </is>
      </c>
      <c r="F23" s="6" t="inlineStr">
        <is>
          <t>Alta</t>
        </is>
      </c>
      <c r="G23" s="7" t="inlineStr">
        <is>
          <t>Aberto</t>
        </is>
      </c>
    </row>
    <row r="24" ht="35" customHeight="1">
      <c r="A24" s="5" t="inlineStr">
        <is>
          <t>CH-2026-0023</t>
        </is>
      </c>
      <c r="B24" s="5" t="inlineStr">
        <is>
          <t>07/05/2026 11:38</t>
        </is>
      </c>
      <c r="C24" s="5" t="inlineStr">
        <is>
          <t>Vilmária</t>
        </is>
      </c>
      <c r="D24" s="5" t="inlineStr">
        <is>
          <t>farmácia central</t>
        </is>
      </c>
      <c r="E24" s="5" t="inlineStr">
        <is>
          <t>sem internet</t>
        </is>
      </c>
      <c r="F24" s="6" t="inlineStr">
        <is>
          <t>Alta</t>
        </is>
      </c>
      <c r="G24" s="7" t="inlineStr">
        <is>
          <t>Aberto</t>
        </is>
      </c>
    </row>
    <row r="25" ht="35" customHeight="1">
      <c r="A25" s="8" t="inlineStr">
        <is>
          <t>CH-2026-0024</t>
        </is>
      </c>
      <c r="B25" s="8" t="inlineStr">
        <is>
          <t>07/05/2026 11:39</t>
        </is>
      </c>
      <c r="C25" s="8" t="inlineStr">
        <is>
          <t>Manuela</t>
        </is>
      </c>
      <c r="D25" s="8" t="inlineStr">
        <is>
          <t>Serviço Social</t>
        </is>
      </c>
      <c r="E25" s="8" t="inlineStr">
        <is>
          <t>sem Internet</t>
        </is>
      </c>
      <c r="F25" s="6" t="inlineStr">
        <is>
          <t>Alta</t>
        </is>
      </c>
      <c r="G25" s="7" t="inlineStr">
        <is>
          <t>Aberto</t>
        </is>
      </c>
    </row>
    <row r="26" ht="35" customHeight="1">
      <c r="A26" s="5" t="inlineStr">
        <is>
          <t>CH-2026-0025</t>
        </is>
      </c>
      <c r="B26" s="5" t="inlineStr">
        <is>
          <t>07/05/2026 11:39</t>
        </is>
      </c>
      <c r="C26" s="5" t="inlineStr">
        <is>
          <t>Rita</t>
        </is>
      </c>
      <c r="D26" s="5" t="inlineStr">
        <is>
          <t>Alojamento conjunto</t>
        </is>
      </c>
      <c r="E26" s="5" t="inlineStr">
        <is>
          <t>setor sem internet</t>
        </is>
      </c>
      <c r="F26" s="6" t="inlineStr">
        <is>
          <t>Alta</t>
        </is>
      </c>
      <c r="G26" s="7" t="inlineStr">
        <is>
          <t>Aberto</t>
        </is>
      </c>
    </row>
    <row r="27" ht="35" customHeight="1">
      <c r="A27" s="8" t="inlineStr">
        <is>
          <t>CH-2026-0026</t>
        </is>
      </c>
      <c r="B27" s="8" t="inlineStr">
        <is>
          <t>07/05/2026 11:40</t>
        </is>
      </c>
      <c r="C27" s="8" t="inlineStr">
        <is>
          <t>Vanessa</t>
        </is>
      </c>
      <c r="D27" s="8" t="inlineStr">
        <is>
          <t>P.aa Ped</t>
        </is>
      </c>
      <c r="E27" s="8" t="inlineStr">
        <is>
          <t>sem internet</t>
        </is>
      </c>
      <c r="F27" s="6" t="inlineStr">
        <is>
          <t>Alta</t>
        </is>
      </c>
      <c r="G27" s="7" t="inlineStr">
        <is>
          <t>Aberto</t>
        </is>
      </c>
    </row>
    <row r="28" ht="35" customHeight="1">
      <c r="A28" s="5" t="inlineStr">
        <is>
          <t>CH-2026-0027</t>
        </is>
      </c>
      <c r="B28" s="5" t="inlineStr">
        <is>
          <t>07/05/2026 11:40</t>
        </is>
      </c>
      <c r="C28" s="5" t="inlineStr">
        <is>
          <t>Jarlandia</t>
        </is>
      </c>
      <c r="D28" s="5" t="inlineStr">
        <is>
          <t>CPN</t>
        </is>
      </c>
      <c r="E28" s="5" t="inlineStr">
        <is>
          <t>setor sem internet</t>
        </is>
      </c>
      <c r="F28" s="6" t="inlineStr">
        <is>
          <t>Alta</t>
        </is>
      </c>
      <c r="G28" s="7" t="inlineStr">
        <is>
          <t>Aberto</t>
        </is>
      </c>
    </row>
    <row r="29" ht="35" customHeight="1">
      <c r="A29" s="8" t="inlineStr">
        <is>
          <t>CH-2026-0028</t>
        </is>
      </c>
      <c r="B29" s="8" t="inlineStr">
        <is>
          <t>07/05/2026 11:41</t>
        </is>
      </c>
      <c r="C29" s="8" t="inlineStr">
        <is>
          <t>Regianne</t>
        </is>
      </c>
      <c r="D29" s="8" t="inlineStr">
        <is>
          <t>SPA adulto</t>
        </is>
      </c>
      <c r="E29" s="8" t="inlineStr">
        <is>
          <t>setor sem internet</t>
        </is>
      </c>
      <c r="F29" s="6" t="inlineStr">
        <is>
          <t>Alta</t>
        </is>
      </c>
      <c r="G29" s="7" t="inlineStr">
        <is>
          <t>Aberto</t>
        </is>
      </c>
    </row>
    <row r="30" ht="35" customHeight="1">
      <c r="A30" s="5" t="inlineStr">
        <is>
          <t>CH-2026-0029</t>
        </is>
      </c>
      <c r="B30" s="5" t="inlineStr">
        <is>
          <t>07/05/2026 11:43</t>
        </is>
      </c>
      <c r="C30" s="5" t="inlineStr">
        <is>
          <t>Rayssa</t>
        </is>
      </c>
      <c r="D30" s="5" t="inlineStr">
        <is>
          <t>UTI1</t>
        </is>
      </c>
      <c r="E30" s="5" t="inlineStr">
        <is>
          <t>setor sem internet</t>
        </is>
      </c>
      <c r="F30" s="6" t="inlineStr">
        <is>
          <t>Alta</t>
        </is>
      </c>
      <c r="G30" s="7" t="inlineStr">
        <is>
          <t>Aberto</t>
        </is>
      </c>
    </row>
    <row r="31" ht="35" customHeight="1">
      <c r="A31" s="8" t="inlineStr">
        <is>
          <t>CH-2026-0030</t>
        </is>
      </c>
      <c r="B31" s="8" t="inlineStr">
        <is>
          <t>07/05/2026 11:44</t>
        </is>
      </c>
      <c r="C31" s="8" t="inlineStr">
        <is>
          <t>sinaria</t>
        </is>
      </c>
      <c r="D31" s="8" t="inlineStr">
        <is>
          <t>sala da endoscopia</t>
        </is>
      </c>
      <c r="E31" s="8" t="inlineStr">
        <is>
          <t>trocar o teclado</t>
        </is>
      </c>
      <c r="F31" s="6" t="inlineStr">
        <is>
          <t>Alta</t>
        </is>
      </c>
      <c r="G31" s="7" t="inlineStr">
        <is>
          <t>Aberto</t>
        </is>
      </c>
    </row>
    <row r="32" ht="35" customHeight="1">
      <c r="A32" s="5" t="inlineStr">
        <is>
          <t>CH-2026-0031</t>
        </is>
      </c>
      <c r="B32" s="5" t="inlineStr">
        <is>
          <t>07/05/2026 11:49</t>
        </is>
      </c>
      <c r="C32" s="5" t="inlineStr">
        <is>
          <t>Luzanira</t>
        </is>
      </c>
      <c r="D32" s="5" t="inlineStr">
        <is>
          <t>Recepção SPA</t>
        </is>
      </c>
      <c r="E32" s="5" t="inlineStr">
        <is>
          <t>Sem internet</t>
        </is>
      </c>
      <c r="F32" s="6" t="inlineStr">
        <is>
          <t>Alta</t>
        </is>
      </c>
      <c r="G32" s="7" t="inlineStr">
        <is>
          <t>Aberto</t>
        </is>
      </c>
    </row>
    <row r="33" ht="35" customHeight="1">
      <c r="A33" s="8" t="inlineStr">
        <is>
          <t>CH-2026-0032</t>
        </is>
      </c>
      <c r="B33" s="8" t="inlineStr">
        <is>
          <t>07/05/2026 11:59</t>
        </is>
      </c>
      <c r="C33" s="8" t="inlineStr">
        <is>
          <t>Thaynara</t>
        </is>
      </c>
      <c r="D33" s="8" t="inlineStr">
        <is>
          <t>Ala B</t>
        </is>
      </c>
      <c r="E33" s="8" t="inlineStr">
        <is>
          <t>Setor sem internet</t>
        </is>
      </c>
      <c r="F33" s="6" t="inlineStr">
        <is>
          <t>Alta</t>
        </is>
      </c>
      <c r="G33" s="7" t="inlineStr">
        <is>
          <t>Aberto</t>
        </is>
      </c>
    </row>
    <row r="34" ht="35" customHeight="1">
      <c r="A34" s="5" t="inlineStr">
        <is>
          <t>CH-2026-0033</t>
        </is>
      </c>
      <c r="B34" s="5" t="inlineStr">
        <is>
          <t>07/05/2026 12:07</t>
        </is>
      </c>
      <c r="C34" s="5" t="inlineStr">
        <is>
          <t>Ana Luiza</t>
        </is>
      </c>
      <c r="D34" s="5" t="inlineStr">
        <is>
          <t>centro cirúrgico</t>
        </is>
      </c>
      <c r="E34" s="5" t="inlineStr">
        <is>
          <t>Setor sem internet</t>
        </is>
      </c>
      <c r="F34" s="6" t="inlineStr">
        <is>
          <t>Alta</t>
        </is>
      </c>
      <c r="G34" s="7" t="inlineStr">
        <is>
          <t>Aberto</t>
        </is>
      </c>
    </row>
    <row r="35" ht="35" customHeight="1">
      <c r="A35" s="8" t="inlineStr">
        <is>
          <t>CH-2026-0034</t>
        </is>
      </c>
      <c r="B35" s="8" t="inlineStr">
        <is>
          <t>07/05/2026 12:10</t>
        </is>
      </c>
      <c r="C35" s="8" t="inlineStr">
        <is>
          <t>Cristiana</t>
        </is>
      </c>
      <c r="D35" s="8" t="inlineStr">
        <is>
          <t>Almoxarifado</t>
        </is>
      </c>
      <c r="E35" s="8" t="inlineStr">
        <is>
          <t>Setor sem internet</t>
        </is>
      </c>
      <c r="F35" s="6" t="inlineStr">
        <is>
          <t>Alta</t>
        </is>
      </c>
      <c r="G35" s="7" t="inlineStr">
        <is>
          <t>Aberto</t>
        </is>
      </c>
    </row>
    <row r="36" ht="35" customHeight="1">
      <c r="A36" s="5" t="inlineStr">
        <is>
          <t>CH-2026-0035</t>
        </is>
      </c>
      <c r="B36" s="5" t="inlineStr">
        <is>
          <t>07/05/2026 12:16</t>
        </is>
      </c>
      <c r="C36" s="5" t="inlineStr">
        <is>
          <t>Paulina</t>
        </is>
      </c>
      <c r="D36" s="5" t="inlineStr">
        <is>
          <t>Ala C</t>
        </is>
      </c>
      <c r="E36" s="5" t="inlineStr">
        <is>
          <t>sem internet</t>
        </is>
      </c>
      <c r="F36" s="6" t="inlineStr">
        <is>
          <t>Alta</t>
        </is>
      </c>
      <c r="G36" s="7" t="inlineStr">
        <is>
          <t>Aberto</t>
        </is>
      </c>
    </row>
    <row r="37" ht="35" customHeight="1">
      <c r="A37" s="8" t="inlineStr">
        <is>
          <t>CH-2026-0036</t>
        </is>
      </c>
      <c r="B37" s="8" t="inlineStr">
        <is>
          <t>07/05/2026 14:09</t>
        </is>
      </c>
      <c r="C37" s="8" t="inlineStr">
        <is>
          <t>Janaria</t>
        </is>
      </c>
      <c r="D37" s="8" t="inlineStr">
        <is>
          <t>vigilância</t>
        </is>
      </c>
      <c r="E37" s="8" t="inlineStr">
        <is>
          <t>sem internet</t>
        </is>
      </c>
      <c r="F37" s="6" t="inlineStr">
        <is>
          <t>Alta</t>
        </is>
      </c>
      <c r="G37" s="7" t="inlineStr">
        <is>
          <t>Aberto</t>
        </is>
      </c>
    </row>
    <row r="38" ht="35" customHeight="1">
      <c r="A38" s="5" t="inlineStr">
        <is>
          <t>CH-2026-0037</t>
        </is>
      </c>
      <c r="B38" s="5" t="inlineStr">
        <is>
          <t>07/05/2026 15:34</t>
        </is>
      </c>
      <c r="C38" s="5" t="inlineStr">
        <is>
          <t>CAROLINE</t>
        </is>
      </c>
      <c r="D38" s="5" t="inlineStr">
        <is>
          <t>NIR</t>
        </is>
      </c>
      <c r="E38" s="5" t="inlineStr">
        <is>
          <t>IMPRESSORA SEM FUNCIONAR</t>
        </is>
      </c>
      <c r="F38" s="6" t="inlineStr">
        <is>
          <t>Alta</t>
        </is>
      </c>
      <c r="G38" s="7" t="inlineStr">
        <is>
          <t>Aberto</t>
        </is>
      </c>
    </row>
    <row r="39" ht="35" customHeight="1">
      <c r="A39" s="8" t="inlineStr">
        <is>
          <t>CH-2026-0038</t>
        </is>
      </c>
      <c r="B39" s="8" t="inlineStr">
        <is>
          <t>07/05/2026 16:36</t>
        </is>
      </c>
      <c r="C39" s="8" t="inlineStr">
        <is>
          <t>Elismaria</t>
        </is>
      </c>
      <c r="D39" s="8" t="inlineStr">
        <is>
          <t>PA.PED</t>
        </is>
      </c>
      <c r="E39" s="8" t="inlineStr">
        <is>
          <t>Totem</t>
        </is>
      </c>
      <c r="F39" s="12" t="inlineStr">
        <is>
          <t>Média</t>
        </is>
      </c>
      <c r="G39" s="7" t="inlineStr">
        <is>
          <t>Aberto</t>
        </is>
      </c>
    </row>
    <row r="40" ht="35" customHeight="1">
      <c r="A40" s="5" t="inlineStr">
        <is>
          <t>CH-2026-0039</t>
        </is>
      </c>
      <c r="B40" s="5" t="inlineStr">
        <is>
          <t>07/05/2026 16:47</t>
        </is>
      </c>
      <c r="C40" s="5" t="inlineStr">
        <is>
          <t>Cristiana</t>
        </is>
      </c>
      <c r="D40" s="5" t="inlineStr">
        <is>
          <t>Almoxarifado</t>
        </is>
      </c>
      <c r="E40" s="5" t="inlineStr">
        <is>
          <t>Sem internet</t>
        </is>
      </c>
      <c r="F40" s="6" t="inlineStr">
        <is>
          <t>Alta</t>
        </is>
      </c>
      <c r="G40" s="7" t="inlineStr">
        <is>
          <t>Aberto</t>
        </is>
      </c>
    </row>
    <row r="41" ht="35" customHeight="1">
      <c r="A41" s="8" t="inlineStr">
        <is>
          <t>CH-2026-0040</t>
        </is>
      </c>
      <c r="B41" s="8" t="inlineStr">
        <is>
          <t>07/05/2026 17:40</t>
        </is>
      </c>
      <c r="C41" s="8" t="inlineStr">
        <is>
          <t>Fernando</t>
        </is>
      </c>
      <c r="D41" s="8" t="inlineStr">
        <is>
          <t>nutrição</t>
        </is>
      </c>
      <c r="E41" s="8" t="inlineStr">
        <is>
          <t>Sem internet</t>
        </is>
      </c>
      <c r="F41" s="6" t="inlineStr">
        <is>
          <t>Alta</t>
        </is>
      </c>
      <c r="G41" s="7" t="inlineStr">
        <is>
          <t>Aberto</t>
        </is>
      </c>
    </row>
    <row r="42" ht="35" customHeight="1">
      <c r="A42" s="5" t="inlineStr">
        <is>
          <t>CH-2026-0041</t>
        </is>
      </c>
      <c r="B42" s="5" t="inlineStr">
        <is>
          <t>07/05/2026 18:29</t>
        </is>
      </c>
      <c r="C42" s="5" t="inlineStr">
        <is>
          <t>Vanessa</t>
        </is>
      </c>
      <c r="D42" s="5" t="inlineStr">
        <is>
          <t>P.aa Ped</t>
        </is>
      </c>
      <c r="E42" s="5" t="inlineStr">
        <is>
          <t>impressora sem imprimir consultório médico 118:29</t>
        </is>
      </c>
      <c r="F42" s="6" t="inlineStr">
        <is>
          <t>Alta</t>
        </is>
      </c>
      <c r="G42" s="7" t="inlineStr">
        <is>
          <t>Aberto</t>
        </is>
      </c>
    </row>
    <row r="43" ht="35" customHeight="1">
      <c r="A43" s="8" t="inlineStr">
        <is>
          <t>CH-2026-0042</t>
        </is>
      </c>
      <c r="B43" s="8" t="inlineStr">
        <is>
          <t>07/05/2026 20:34</t>
        </is>
      </c>
      <c r="C43" s="8" t="inlineStr">
        <is>
          <t>Welza</t>
        </is>
      </c>
      <c r="D43" s="8" t="inlineStr">
        <is>
          <t>Ala B</t>
        </is>
      </c>
      <c r="E43" s="8" t="inlineStr">
        <is>
          <t>impressora sem imprimir</t>
        </is>
      </c>
      <c r="F43" s="6" t="inlineStr">
        <is>
          <t>Alta</t>
        </is>
      </c>
      <c r="G43" s="7" t="inlineStr">
        <is>
          <t>Aberto</t>
        </is>
      </c>
    </row>
    <row r="44" ht="35" customHeight="1">
      <c r="A44" s="5" t="inlineStr">
        <is>
          <t>CH-2026-0043</t>
        </is>
      </c>
      <c r="B44" s="5" t="inlineStr">
        <is>
          <t>07/05/2026 23:53</t>
        </is>
      </c>
      <c r="C44" s="5" t="inlineStr">
        <is>
          <t>Vanessa</t>
        </is>
      </c>
      <c r="D44" s="5" t="inlineStr">
        <is>
          <t>PA obstétrico</t>
        </is>
      </c>
      <c r="E44" s="5" t="inlineStr">
        <is>
          <t>Profissionais sem acesso ao SALUTEM</t>
        </is>
      </c>
      <c r="F44" s="6" t="inlineStr">
        <is>
          <t>Alta</t>
        </is>
      </c>
      <c r="G44" s="7" t="inlineStr">
        <is>
          <t>Aberto</t>
        </is>
      </c>
    </row>
    <row r="45" ht="35" customHeight="1">
      <c r="A45" s="8" t="inlineStr">
        <is>
          <t>CH-2026-0044</t>
        </is>
      </c>
      <c r="B45" s="8" t="inlineStr">
        <is>
          <t>07/05/2026 23:55</t>
        </is>
      </c>
      <c r="C45" s="8" t="inlineStr">
        <is>
          <t>Gleice</t>
        </is>
      </c>
      <c r="D45" s="8" t="inlineStr">
        <is>
          <t>Ala c, posto 2</t>
        </is>
      </c>
      <c r="E45" s="8" t="inlineStr">
        <is>
          <t>Profissionais sem acesso ao SALUTEM</t>
        </is>
      </c>
      <c r="F45" s="6" t="inlineStr">
        <is>
          <t>Alta</t>
        </is>
      </c>
      <c r="G45" s="7" t="inlineStr">
        <is>
          <t>Aberto</t>
        </is>
      </c>
    </row>
    <row r="46" ht="35" customHeight="1">
      <c r="A46" s="5" t="inlineStr">
        <is>
          <t>CH-2026-0045</t>
        </is>
      </c>
      <c r="B46" s="5" t="inlineStr">
        <is>
          <t>07/05/2026 23:57</t>
        </is>
      </c>
      <c r="C46" s="5" t="inlineStr">
        <is>
          <t>Efigênia</t>
        </is>
      </c>
      <c r="D46" s="5" t="inlineStr">
        <is>
          <t>PA PED</t>
        </is>
      </c>
      <c r="E46" s="5" t="inlineStr">
        <is>
          <t>Profissionais sem acesso ao SALUTEM</t>
        </is>
      </c>
      <c r="F46" s="6" t="inlineStr">
        <is>
          <t>Alta</t>
        </is>
      </c>
      <c r="G46" s="7" t="inlineStr">
        <is>
          <t>Aberto</t>
        </is>
      </c>
    </row>
    <row r="47" ht="35" customHeight="1">
      <c r="A47" s="8" t="inlineStr">
        <is>
          <t>CH-2026-0046</t>
        </is>
      </c>
      <c r="B47" s="8" t="inlineStr">
        <is>
          <t>07/05/2026 23:58</t>
        </is>
      </c>
      <c r="C47" s="8" t="inlineStr">
        <is>
          <t>Leandro</t>
        </is>
      </c>
      <c r="D47" s="8" t="inlineStr">
        <is>
          <t>PA Adulto</t>
        </is>
      </c>
      <c r="E47" s="8" t="inlineStr">
        <is>
          <t>Profissionais sem acesso ao SALUTEM</t>
        </is>
      </c>
      <c r="F47" s="6" t="inlineStr">
        <is>
          <t>Alta</t>
        </is>
      </c>
      <c r="G47" s="7" t="inlineStr">
        <is>
          <t>Aberto</t>
        </is>
      </c>
    </row>
    <row r="48" ht="35" customHeight="1">
      <c r="A48" s="5" t="inlineStr">
        <is>
          <t>CH-2026-0047</t>
        </is>
      </c>
      <c r="B48" s="5" t="inlineStr">
        <is>
          <t>07/05/2026 23:59</t>
        </is>
      </c>
      <c r="C48" s="5" t="inlineStr">
        <is>
          <t>Denise</t>
        </is>
      </c>
      <c r="D48" s="5" t="inlineStr">
        <is>
          <t>SPA</t>
        </is>
      </c>
      <c r="E48" s="5" t="inlineStr">
        <is>
          <t>Computador sem internet</t>
        </is>
      </c>
      <c r="F48" s="6" t="inlineStr">
        <is>
          <t>Alta</t>
        </is>
      </c>
      <c r="G48" s="7" t="inlineStr">
        <is>
          <t>Aberto</t>
        </is>
      </c>
    </row>
    <row r="49" ht="35" customHeight="1">
      <c r="A49" s="8" t="inlineStr">
        <is>
          <t>CH-2026-0048</t>
        </is>
      </c>
      <c r="B49" s="8" t="inlineStr">
        <is>
          <t>08/05/2026 00:00</t>
        </is>
      </c>
      <c r="C49" s="8" t="inlineStr">
        <is>
          <t>Marina Leila</t>
        </is>
      </c>
      <c r="D49" s="8" t="inlineStr">
        <is>
          <t>PA PED</t>
        </is>
      </c>
      <c r="E49" s="8" t="inlineStr">
        <is>
          <t>Profissionais sem acesso ao SALUTEM</t>
        </is>
      </c>
      <c r="F49" s="6" t="inlineStr">
        <is>
          <t>Alta</t>
        </is>
      </c>
      <c r="G49" s="7" t="inlineStr">
        <is>
          <t>Aberto</t>
        </is>
      </c>
    </row>
    <row r="50" ht="35" customHeight="1">
      <c r="A50" s="5" t="inlineStr">
        <is>
          <t>CH-2026-0049</t>
        </is>
      </c>
      <c r="B50" s="5" t="inlineStr">
        <is>
          <t>08/05/2026 00:02</t>
        </is>
      </c>
      <c r="C50" s="5" t="inlineStr">
        <is>
          <t>Welza</t>
        </is>
      </c>
      <c r="D50" s="5" t="inlineStr">
        <is>
          <t>Ala B</t>
        </is>
      </c>
      <c r="E50" s="5" t="inlineStr">
        <is>
          <t>Profissionais sem acesso ao SALUTEM</t>
        </is>
      </c>
      <c r="F50" s="6" t="inlineStr">
        <is>
          <t>Alta</t>
        </is>
      </c>
      <c r="G50" s="7" t="inlineStr">
        <is>
          <t>Aberto</t>
        </is>
      </c>
    </row>
    <row r="51" ht="35" customHeight="1">
      <c r="A51" s="8" t="inlineStr">
        <is>
          <t>CH-2026-0050</t>
        </is>
      </c>
      <c r="B51" s="8" t="inlineStr">
        <is>
          <t>08/05/2026 00:04</t>
        </is>
      </c>
      <c r="C51" s="8" t="inlineStr">
        <is>
          <t>Welza</t>
        </is>
      </c>
      <c r="D51" s="8" t="inlineStr">
        <is>
          <t>UTI 1</t>
        </is>
      </c>
      <c r="E51" s="8" t="inlineStr">
        <is>
          <t>Profissionais sem acesso ao SALUTEM</t>
        </is>
      </c>
      <c r="F51" s="6" t="inlineStr">
        <is>
          <t>Alta</t>
        </is>
      </c>
      <c r="G51" s="7" t="inlineStr">
        <is>
          <t>Aberto</t>
        </is>
      </c>
    </row>
    <row r="52" ht="35" customHeight="1">
      <c r="A52" s="5" t="inlineStr">
        <is>
          <t>CH-2026-0051</t>
        </is>
      </c>
      <c r="B52" s="5" t="inlineStr">
        <is>
          <t>08/05/2026 00:15</t>
        </is>
      </c>
      <c r="C52" s="5" t="inlineStr">
        <is>
          <t>Zeneide</t>
        </is>
      </c>
      <c r="D52" s="5" t="inlineStr">
        <is>
          <t>CPN</t>
        </is>
      </c>
      <c r="E52" s="5" t="inlineStr">
        <is>
          <t>Sem acesso a SALUTEM</t>
        </is>
      </c>
      <c r="F52" s="6" t="inlineStr">
        <is>
          <t>Alta</t>
        </is>
      </c>
      <c r="G52" s="7" t="inlineStr">
        <is>
          <t>Aberto</t>
        </is>
      </c>
    </row>
    <row r="53" ht="35" customHeight="1">
      <c r="A53" s="8" t="inlineStr">
        <is>
          <t>CH-2026-0052</t>
        </is>
      </c>
      <c r="B53" s="8" t="inlineStr">
        <is>
          <t>08/05/2026 02:53</t>
        </is>
      </c>
      <c r="C53" s="8" t="inlineStr">
        <is>
          <t>Keylla Thays</t>
        </is>
      </c>
      <c r="D53" s="8" t="inlineStr">
        <is>
          <t>CPN</t>
        </is>
      </c>
      <c r="E53" s="8" t="inlineStr">
        <is>
          <t>Sem acesso a SALUTEM</t>
        </is>
      </c>
      <c r="F53" s="6" t="inlineStr">
        <is>
          <t>Alta</t>
        </is>
      </c>
      <c r="G53" s="7" t="inlineStr">
        <is>
          <t>Aberto</t>
        </is>
      </c>
    </row>
    <row r="54" ht="35" customHeight="1">
      <c r="A54" s="5" t="inlineStr">
        <is>
          <t>CH-2026-0053</t>
        </is>
      </c>
      <c r="B54" s="5" t="inlineStr">
        <is>
          <t>08/05/2026 02:54</t>
        </is>
      </c>
      <c r="C54" s="5" t="inlineStr">
        <is>
          <t>Iara</t>
        </is>
      </c>
      <c r="D54" s="5" t="inlineStr">
        <is>
          <t>UTI</t>
        </is>
      </c>
      <c r="E54" s="5" t="inlineStr">
        <is>
          <t>Sem internet</t>
        </is>
      </c>
      <c r="F54" s="6" t="inlineStr">
        <is>
          <t>Alta</t>
        </is>
      </c>
      <c r="G54" s="7" t="inlineStr">
        <is>
          <t>Aberto</t>
        </is>
      </c>
    </row>
    <row r="55" ht="35" customHeight="1">
      <c r="A55" s="8" t="inlineStr">
        <is>
          <t>CH-2026-0054</t>
        </is>
      </c>
      <c r="B55" s="8" t="inlineStr">
        <is>
          <t>08/05/2026 02:55</t>
        </is>
      </c>
      <c r="C55" s="8" t="inlineStr">
        <is>
          <t>Paula</t>
        </is>
      </c>
      <c r="D55" s="8" t="inlineStr">
        <is>
          <t>Ala C</t>
        </is>
      </c>
      <c r="E55" s="8" t="inlineStr">
        <is>
          <t>Sem internet</t>
        </is>
      </c>
      <c r="F55" s="6" t="inlineStr">
        <is>
          <t>Alta</t>
        </is>
      </c>
      <c r="G55" s="7" t="inlineStr">
        <is>
          <t>Aberto</t>
        </is>
      </c>
    </row>
    <row r="56" ht="35" customHeight="1">
      <c r="A56" s="5" t="inlineStr">
        <is>
          <t>CH-2026-0055</t>
        </is>
      </c>
      <c r="B56" s="5" t="inlineStr">
        <is>
          <t>08/05/2026 02:56</t>
        </is>
      </c>
      <c r="C56" s="5" t="inlineStr">
        <is>
          <t>Zeneide</t>
        </is>
      </c>
      <c r="D56" s="5" t="inlineStr">
        <is>
          <t>CPN</t>
        </is>
      </c>
      <c r="E56" s="5" t="inlineStr">
        <is>
          <t>Sem Internet</t>
        </is>
      </c>
      <c r="F56" s="6" t="inlineStr">
        <is>
          <t>Alta</t>
        </is>
      </c>
      <c r="G56" s="7" t="inlineStr">
        <is>
          <t>Aberto</t>
        </is>
      </c>
    </row>
    <row r="57" ht="35" customHeight="1">
      <c r="A57" s="8" t="inlineStr">
        <is>
          <t>CH-2026-0056</t>
        </is>
      </c>
      <c r="B57" s="8" t="inlineStr">
        <is>
          <t>08/05/2026 02:58</t>
        </is>
      </c>
      <c r="C57" s="8" t="inlineStr">
        <is>
          <t>Efigênia</t>
        </is>
      </c>
      <c r="D57" s="8" t="inlineStr">
        <is>
          <t>PA PED</t>
        </is>
      </c>
      <c r="E57" s="8" t="inlineStr">
        <is>
          <t>Sem Internet</t>
        </is>
      </c>
      <c r="F57" s="6" t="inlineStr">
        <is>
          <t>Alta</t>
        </is>
      </c>
      <c r="G57" s="7" t="inlineStr">
        <is>
          <t>Aberto</t>
        </is>
      </c>
    </row>
    <row r="58" ht="35" customHeight="1">
      <c r="A58" s="5" t="inlineStr">
        <is>
          <t>CH-2026-0057</t>
        </is>
      </c>
      <c r="B58" s="5" t="inlineStr">
        <is>
          <t>08/05/2026 05:56</t>
        </is>
      </c>
      <c r="C58" s="5" t="inlineStr">
        <is>
          <t>Gleice</t>
        </is>
      </c>
      <c r="D58" s="5" t="inlineStr">
        <is>
          <t>ala c, posto 2</t>
        </is>
      </c>
      <c r="E58" s="5" t="inlineStr">
        <is>
          <t>Sem Internet</t>
        </is>
      </c>
      <c r="F58" s="6" t="inlineStr">
        <is>
          <t>Alta</t>
        </is>
      </c>
      <c r="G58" s="7" t="inlineStr">
        <is>
          <t>Aberto</t>
        </is>
      </c>
    </row>
    <row r="59" ht="35" customHeight="1">
      <c r="A59" s="8" t="inlineStr">
        <is>
          <t>CH-2026-0058</t>
        </is>
      </c>
      <c r="B59" s="8" t="inlineStr">
        <is>
          <t>08/05/2026 06:20</t>
        </is>
      </c>
      <c r="C59" s="8" t="inlineStr">
        <is>
          <t>Gleice</t>
        </is>
      </c>
      <c r="D59" s="8" t="inlineStr">
        <is>
          <t>ala c, posto 2</t>
        </is>
      </c>
      <c r="E59" s="8" t="inlineStr">
        <is>
          <t>não estou conseguindo imprimir</t>
        </is>
      </c>
      <c r="F59" s="6" t="inlineStr">
        <is>
          <t>Alta</t>
        </is>
      </c>
      <c r="G59" s="7" t="inlineStr">
        <is>
          <t>Aberto</t>
        </is>
      </c>
    </row>
    <row r="60" ht="35" customHeight="1">
      <c r="A60" s="5" t="inlineStr">
        <is>
          <t>CH-2026-0059</t>
        </is>
      </c>
      <c r="B60" s="5" t="inlineStr">
        <is>
          <t>08/05/2026 06:38</t>
        </is>
      </c>
      <c r="C60" s="5" t="inlineStr">
        <is>
          <t>Wanderson</t>
        </is>
      </c>
      <c r="D60" s="5" t="inlineStr">
        <is>
          <t>Laboratório</t>
        </is>
      </c>
      <c r="E60" s="5" t="inlineStr">
        <is>
          <t>Sem Internet desde 02:40.</t>
        </is>
      </c>
      <c r="F60" s="6" t="inlineStr">
        <is>
          <t>Alta</t>
        </is>
      </c>
      <c r="G60" s="7" t="inlineStr">
        <is>
          <t>Aberto</t>
        </is>
      </c>
    </row>
    <row r="61" ht="35" customHeight="1">
      <c r="A61" s="8" t="inlineStr">
        <is>
          <t>CH-2026-0060</t>
        </is>
      </c>
      <c r="B61" s="8" t="inlineStr">
        <is>
          <t>08/05/2026 06:45</t>
        </is>
      </c>
      <c r="C61" s="8" t="inlineStr">
        <is>
          <t>Welza</t>
        </is>
      </c>
      <c r="D61" s="8" t="inlineStr">
        <is>
          <t>Ala B</t>
        </is>
      </c>
      <c r="E61" s="8" t="inlineStr">
        <is>
          <t>Sem Internet p/ entra no sistema</t>
        </is>
      </c>
      <c r="F61" s="6" t="inlineStr">
        <is>
          <t>Alta</t>
        </is>
      </c>
      <c r="G61" s="7" t="inlineStr">
        <is>
          <t>Aberto</t>
        </is>
      </c>
    </row>
    <row r="62" ht="35" customHeight="1">
      <c r="A62" s="5" t="inlineStr">
        <is>
          <t>CH-2026-0061</t>
        </is>
      </c>
      <c r="B62" s="5" t="inlineStr">
        <is>
          <t>08/05/2026 06:46</t>
        </is>
      </c>
      <c r="C62" s="5" t="inlineStr">
        <is>
          <t>Gabriela</t>
        </is>
      </c>
      <c r="D62" s="5" t="inlineStr">
        <is>
          <t>Farmácia Central</t>
        </is>
      </c>
      <c r="E62" s="5" t="inlineStr">
        <is>
          <t>Impressora de etiquetas</t>
        </is>
      </c>
      <c r="F62" s="6" t="inlineStr">
        <is>
          <t>Alta</t>
        </is>
      </c>
      <c r="G62" s="7" t="inlineStr">
        <is>
          <t>Aberto</t>
        </is>
      </c>
    </row>
    <row r="63" ht="35" customHeight="1">
      <c r="A63" s="8" t="inlineStr">
        <is>
          <t>CH-2026-0062</t>
        </is>
      </c>
      <c r="B63" s="8" t="inlineStr">
        <is>
          <t>08/05/2026 07:17</t>
        </is>
      </c>
      <c r="C63" s="8" t="inlineStr">
        <is>
          <t>Mayara</t>
        </is>
      </c>
      <c r="D63" s="8" t="inlineStr">
        <is>
          <t>PA ped</t>
        </is>
      </c>
      <c r="E63" s="8" t="inlineStr">
        <is>
          <t>Totem não imprime</t>
        </is>
      </c>
      <c r="F63" s="6" t="inlineStr">
        <is>
          <t>Alta</t>
        </is>
      </c>
      <c r="G63" s="7" t="inlineStr">
        <is>
          <t>Aberto</t>
        </is>
      </c>
    </row>
    <row r="64" ht="35" customHeight="1">
      <c r="A64" s="5" t="inlineStr">
        <is>
          <t>CH-2026-0063</t>
        </is>
      </c>
      <c r="B64" s="5" t="inlineStr">
        <is>
          <t>08/05/2026 07:22</t>
        </is>
      </c>
      <c r="C64" s="5" t="inlineStr">
        <is>
          <t>Yara</t>
        </is>
      </c>
      <c r="D64" s="5" t="inlineStr">
        <is>
          <t>Ala C posto 2</t>
        </is>
      </c>
      <c r="E64" s="5" t="inlineStr">
        <is>
          <t>Sem internet</t>
        </is>
      </c>
      <c r="F64" s="6" t="inlineStr">
        <is>
          <t>Alta</t>
        </is>
      </c>
      <c r="G64" s="7" t="inlineStr">
        <is>
          <t>Aberto</t>
        </is>
      </c>
    </row>
    <row r="65" ht="35" customHeight="1">
      <c r="A65" s="8" t="inlineStr">
        <is>
          <t>CH-2026-0064</t>
        </is>
      </c>
      <c r="B65" s="8" t="inlineStr">
        <is>
          <t>08/05/2026 07:31</t>
        </is>
      </c>
      <c r="C65" s="8" t="inlineStr">
        <is>
          <t>Lesliane</t>
        </is>
      </c>
      <c r="D65" s="8" t="inlineStr">
        <is>
          <t>cc</t>
        </is>
      </c>
      <c r="E65" s="8" t="inlineStr">
        <is>
          <t>Sem internet</t>
        </is>
      </c>
      <c r="F65" s="6" t="inlineStr">
        <is>
          <t>Alta</t>
        </is>
      </c>
      <c r="G65" s="7" t="inlineStr">
        <is>
          <t>Aberto</t>
        </is>
      </c>
    </row>
    <row r="66" ht="35" customHeight="1">
      <c r="A66" s="5" t="inlineStr">
        <is>
          <t>CH-2026-0065</t>
        </is>
      </c>
      <c r="B66" s="5" t="inlineStr">
        <is>
          <t>08/05/2026 07:48</t>
        </is>
      </c>
      <c r="C66" s="5" t="inlineStr">
        <is>
          <t>Amanda</t>
        </is>
      </c>
      <c r="D66" s="5" t="inlineStr">
        <is>
          <t>laboratório</t>
        </is>
      </c>
      <c r="E66" s="5" t="inlineStr">
        <is>
          <t>Sem internet</t>
        </is>
      </c>
      <c r="F66" s="6" t="inlineStr">
        <is>
          <t>Alta</t>
        </is>
      </c>
      <c r="G66" s="7" t="inlineStr">
        <is>
          <t>Aberto</t>
        </is>
      </c>
    </row>
    <row r="67" ht="35" customHeight="1">
      <c r="A67" s="8" t="inlineStr">
        <is>
          <t>CH-2026-0066</t>
        </is>
      </c>
      <c r="B67" s="8" t="inlineStr">
        <is>
          <t>08/05/2026 07:56</t>
        </is>
      </c>
      <c r="C67" s="8" t="inlineStr">
        <is>
          <t>Fernando</t>
        </is>
      </c>
      <c r="D67" s="8" t="inlineStr">
        <is>
          <t>Farmacia</t>
        </is>
      </c>
      <c r="E67" s="8" t="inlineStr">
        <is>
          <t>Data: 07/05/2026 Solicitante: Fernando Setor: Farmacia Prioridade: alta Descrição do problema:</t>
        </is>
      </c>
      <c r="F67" s="6" t="inlineStr">
        <is>
          <t>Alta</t>
        </is>
      </c>
      <c r="G67" s="7" t="inlineStr">
        <is>
          <t>Aberto</t>
        </is>
      </c>
    </row>
    <row r="68" ht="35" customHeight="1">
      <c r="A68" s="5" t="inlineStr">
        <is>
          <t>CH-2026-0067</t>
        </is>
      </c>
      <c r="B68" s="5" t="inlineStr">
        <is>
          <t>08/05/2026 08:01</t>
        </is>
      </c>
      <c r="C68" s="5" t="inlineStr">
        <is>
          <t>Gedália</t>
        </is>
      </c>
      <c r="D68" s="5" t="inlineStr">
        <is>
          <t>Ala D</t>
        </is>
      </c>
      <c r="E68" s="5" t="inlineStr">
        <is>
          <t>Sem internet</t>
        </is>
      </c>
      <c r="F68" s="6" t="inlineStr">
        <is>
          <t>Alta</t>
        </is>
      </c>
      <c r="G68" s="7" t="inlineStr">
        <is>
          <t>Aberto</t>
        </is>
      </c>
    </row>
    <row r="69" ht="35" customHeight="1">
      <c r="A69" s="8" t="inlineStr">
        <is>
          <t>CH-2026-0068</t>
        </is>
      </c>
      <c r="B69" s="8" t="inlineStr">
        <is>
          <t>08/05/2026 08:55</t>
        </is>
      </c>
      <c r="C69" s="8" t="inlineStr">
        <is>
          <t>Sinaria</t>
        </is>
      </c>
      <c r="D69" s="8" t="inlineStr">
        <is>
          <t>Sala de endoscopia</t>
        </is>
      </c>
      <c r="E69" s="8" t="inlineStr">
        <is>
          <t>sem internet</t>
        </is>
      </c>
      <c r="F69" s="6" t="inlineStr">
        <is>
          <t>Alta</t>
        </is>
      </c>
      <c r="G69" s="7" t="inlineStr">
        <is>
          <t>Aberto</t>
        </is>
      </c>
    </row>
    <row r="70" ht="35" customHeight="1">
      <c r="A70" s="5" t="inlineStr">
        <is>
          <t>CH-2026-0069</t>
        </is>
      </c>
      <c r="B70" s="5" t="inlineStr">
        <is>
          <t>08/05/2026 09:03</t>
        </is>
      </c>
      <c r="C70" s="5" t="inlineStr">
        <is>
          <t>Dr Fabricio</t>
        </is>
      </c>
      <c r="D70" s="5" t="inlineStr">
        <is>
          <t>UTI 2</t>
        </is>
      </c>
      <c r="E70" s="5" t="inlineStr">
        <is>
          <t>sem internet em ALGUNS dos computadores (uns com, outros sem)</t>
        </is>
      </c>
      <c r="F70" s="6" t="inlineStr">
        <is>
          <t>Alta</t>
        </is>
      </c>
      <c r="G70" s="7" t="inlineStr">
        <is>
          <t>Aberto</t>
        </is>
      </c>
    </row>
    <row r="71" ht="35" customHeight="1">
      <c r="A71" s="8" t="inlineStr">
        <is>
          <t>CH-2026-0070</t>
        </is>
      </c>
      <c r="B71" s="8" t="inlineStr">
        <is>
          <t>08/05/2026 12:41</t>
        </is>
      </c>
      <c r="C71" s="8" t="inlineStr">
        <is>
          <t>Jaine</t>
        </is>
      </c>
      <c r="D71" s="8" t="inlineStr">
        <is>
          <t>ala c</t>
        </is>
      </c>
      <c r="E71" s="8" t="inlineStr">
        <is>
          <t>sem internet</t>
        </is>
      </c>
      <c r="F71" s="6" t="inlineStr">
        <is>
          <t>Alta</t>
        </is>
      </c>
      <c r="G71" s="7" t="inlineStr">
        <is>
          <t>Aberto</t>
        </is>
      </c>
    </row>
    <row r="72" ht="35" customHeight="1">
      <c r="A72" s="5" t="inlineStr">
        <is>
          <t>CH-2026-0071</t>
        </is>
      </c>
      <c r="B72" s="5" t="inlineStr">
        <is>
          <t>08/05/2026 12:43</t>
        </is>
      </c>
      <c r="C72" s="5" t="inlineStr">
        <is>
          <t>Lesliane</t>
        </is>
      </c>
      <c r="D72" s="5" t="inlineStr">
        <is>
          <t>cc</t>
        </is>
      </c>
      <c r="E72" s="5" t="inlineStr">
        <is>
          <t>Trocar o toner</t>
        </is>
      </c>
      <c r="F72" s="6" t="inlineStr">
        <is>
          <t>Alta</t>
        </is>
      </c>
      <c r="G72" s="7" t="inlineStr">
        <is>
          <t>Aberto</t>
        </is>
      </c>
    </row>
    <row r="73" ht="35" customHeight="1">
      <c r="A73" s="8" t="inlineStr">
        <is>
          <t>CH-2026-0072</t>
        </is>
      </c>
      <c r="B73" s="8" t="inlineStr">
        <is>
          <t>08/05/2026 14:17</t>
        </is>
      </c>
      <c r="C73" s="8" t="inlineStr">
        <is>
          <t>Setor: Vigilância Epidemiológica</t>
        </is>
      </c>
      <c r="D73" s="8" t="inlineStr">
        <is>
          <t>Vigilância Epidemiológica</t>
        </is>
      </c>
      <c r="E73" s="8" t="inlineStr">
        <is>
          <t>Telefone do setor não funciona.</t>
        </is>
      </c>
      <c r="F73" s="6" t="inlineStr">
        <is>
          <t>Alta</t>
        </is>
      </c>
      <c r="G73" s="7" t="inlineStr">
        <is>
          <t>Aberto</t>
        </is>
      </c>
    </row>
    <row r="74" ht="35" customHeight="1">
      <c r="A74" s="5" t="inlineStr">
        <is>
          <t>CH-2026-0073</t>
        </is>
      </c>
      <c r="B74" s="5" t="inlineStr">
        <is>
          <t>08/05/2026 14:47</t>
        </is>
      </c>
      <c r="C74" s="5" t="inlineStr">
        <is>
          <t>Elismaria</t>
        </is>
      </c>
      <c r="D74" s="5" t="inlineStr">
        <is>
          <t>PA.PED</t>
        </is>
      </c>
      <c r="E74" s="5" t="inlineStr">
        <is>
          <t>Totem</t>
        </is>
      </c>
      <c r="F74" s="12" t="inlineStr">
        <is>
          <t>Média</t>
        </is>
      </c>
      <c r="G74" s="7" t="inlineStr">
        <is>
          <t>Aberto</t>
        </is>
      </c>
    </row>
    <row r="75" ht="35" customHeight="1">
      <c r="A75" s="8" t="inlineStr">
        <is>
          <t>CH-2026-0074</t>
        </is>
      </c>
      <c r="B75" s="8" t="inlineStr">
        <is>
          <t>08/05/2026 16:30</t>
        </is>
      </c>
      <c r="C75" s="8" t="inlineStr">
        <is>
          <t>Karina</t>
        </is>
      </c>
      <c r="D75" s="8" t="inlineStr">
        <is>
          <t>ala B</t>
        </is>
      </c>
      <c r="E75" s="8" t="inlineStr">
        <is>
          <t>impressora sem imprimir</t>
        </is>
      </c>
      <c r="F75" s="6" t="inlineStr">
        <is>
          <t>Alta</t>
        </is>
      </c>
      <c r="G75" s="7" t="inlineStr">
        <is>
          <t>Aberto</t>
        </is>
      </c>
    </row>
    <row r="76" ht="35" customHeight="1">
      <c r="A76" s="5" t="inlineStr">
        <is>
          <t>CH-2026-0075</t>
        </is>
      </c>
      <c r="B76" s="5" t="inlineStr">
        <is>
          <t>08/05/2026 17:32</t>
        </is>
      </c>
      <c r="C76" s="5" t="inlineStr">
        <is>
          <t>Jaine</t>
        </is>
      </c>
      <c r="D76" s="5" t="inlineStr">
        <is>
          <t>ala C</t>
        </is>
      </c>
      <c r="E76" s="5" t="inlineStr">
        <is>
          <t>Data: 08/05/2026 Solicitante: Jaine Setor: ala C Prioridade: alta Descrição do problema:</t>
        </is>
      </c>
      <c r="F76" s="6" t="inlineStr">
        <is>
          <t>Alta</t>
        </is>
      </c>
      <c r="G76" s="7" t="inlineStr">
        <is>
          <t>Aberto</t>
        </is>
      </c>
    </row>
    <row r="77" ht="35" customHeight="1">
      <c r="A77" s="8" t="inlineStr">
        <is>
          <t>CH-2026-0076</t>
        </is>
      </c>
      <c r="B77" s="8" t="inlineStr">
        <is>
          <t>08/05/2026 18:09</t>
        </is>
      </c>
      <c r="C77" s="8" t="inlineStr">
        <is>
          <t>Mayara</t>
        </is>
      </c>
      <c r="D77" s="8" t="inlineStr">
        <is>
          <t>PA PED</t>
        </is>
      </c>
      <c r="E77" s="8" t="inlineStr">
        <is>
          <t>Totem sem papel</t>
        </is>
      </c>
      <c r="F77" s="6" t="inlineStr">
        <is>
          <t>Alta</t>
        </is>
      </c>
      <c r="G77" s="7" t="inlineStr">
        <is>
          <t>Aberto</t>
        </is>
      </c>
    </row>
    <row r="78" ht="35" customHeight="1">
      <c r="A78" s="5" t="inlineStr">
        <is>
          <t>CH-2026-0077</t>
        </is>
      </c>
      <c r="B78" s="5" t="inlineStr">
        <is>
          <t>08/05/2026 21:54</t>
        </is>
      </c>
      <c r="C78" s="5" t="inlineStr">
        <is>
          <t>Johnatas</t>
        </is>
      </c>
      <c r="D78" s="5" t="inlineStr">
        <is>
          <t>SPA</t>
        </is>
      </c>
      <c r="E78" s="5" t="inlineStr">
        <is>
          <t>Totem sem papel</t>
        </is>
      </c>
      <c r="F78" s="6" t="inlineStr">
        <is>
          <t>Alta</t>
        </is>
      </c>
      <c r="G78" s="7" t="inlineStr">
        <is>
          <t>Aberto</t>
        </is>
      </c>
    </row>
    <row r="79" ht="35" customHeight="1">
      <c r="A79" s="8" t="inlineStr">
        <is>
          <t>CH-2026-0078</t>
        </is>
      </c>
      <c r="B79" s="8" t="inlineStr">
        <is>
          <t>08/05/2026 23:16</t>
        </is>
      </c>
      <c r="C79" s="8" t="inlineStr">
        <is>
          <t>Erika</t>
        </is>
      </c>
      <c r="D79" s="8" t="inlineStr">
        <is>
          <t>PAPED</t>
        </is>
      </c>
      <c r="E79" s="8" t="inlineStr">
        <is>
          <t>Cadastrar profissional na recepção do PAP</t>
        </is>
      </c>
      <c r="F79" s="13" t="inlineStr">
        <is>
          <t>Baixa</t>
        </is>
      </c>
      <c r="G79" s="7" t="inlineStr">
        <is>
          <t>Aberto</t>
        </is>
      </c>
    </row>
    <row r="80" ht="35" customHeight="1">
      <c r="A80" s="5" t="inlineStr">
        <is>
          <t>CH-2026-0079</t>
        </is>
      </c>
      <c r="B80" s="5" t="inlineStr">
        <is>
          <t>08/05/2026 23:34</t>
        </is>
      </c>
      <c r="C80" s="5" t="inlineStr">
        <is>
          <t>Gyzelda</t>
        </is>
      </c>
      <c r="D80" s="5" t="inlineStr">
        <is>
          <t>Ala B</t>
        </is>
      </c>
      <c r="E80" s="5" t="inlineStr">
        <is>
          <t>impressora não imprimi</t>
        </is>
      </c>
      <c r="F80" s="6" t="inlineStr">
        <is>
          <t>Alta</t>
        </is>
      </c>
      <c r="G80" s="7" t="inlineStr">
        <is>
          <t>Aberto</t>
        </is>
      </c>
    </row>
    <row r="81" ht="35" customHeight="1">
      <c r="A81" s="8" t="inlineStr">
        <is>
          <t>CH-2026-0080</t>
        </is>
      </c>
      <c r="B81" s="8" t="inlineStr">
        <is>
          <t>09/05/2026 07:33</t>
        </is>
      </c>
      <c r="C81" s="8" t="inlineStr">
        <is>
          <t>Varton</t>
        </is>
      </c>
      <c r="D81" s="8" t="inlineStr">
        <is>
          <t>SPA</t>
        </is>
      </c>
      <c r="E81" s="8" t="inlineStr">
        <is>
          <t>loguin da médica não entra.</t>
        </is>
      </c>
      <c r="F81" s="6" t="inlineStr">
        <is>
          <t>Alta</t>
        </is>
      </c>
      <c r="G81" s="7" t="inlineStr">
        <is>
          <t>Aberto</t>
        </is>
      </c>
    </row>
    <row r="82" ht="35" customHeight="1">
      <c r="A82" s="5" t="inlineStr">
        <is>
          <t>CH-2026-0081</t>
        </is>
      </c>
      <c r="B82" s="5" t="inlineStr">
        <is>
          <t>09/05/2026 07:34</t>
        </is>
      </c>
      <c r="C82" s="5" t="inlineStr">
        <is>
          <t>Varton</t>
        </is>
      </c>
      <c r="D82" s="5" t="inlineStr">
        <is>
          <t>SPA</t>
        </is>
      </c>
      <c r="E82" s="5" t="inlineStr">
        <is>
          <t>trocar teclado da sala do ECG</t>
        </is>
      </c>
      <c r="F82" s="6" t="inlineStr">
        <is>
          <t>Alta</t>
        </is>
      </c>
      <c r="G82" s="7" t="inlineStr">
        <is>
          <t>Aberto</t>
        </is>
      </c>
    </row>
    <row r="83" ht="35" customHeight="1">
      <c r="A83" s="8" t="inlineStr">
        <is>
          <t>CH-2026-0082</t>
        </is>
      </c>
      <c r="B83" s="8" t="inlineStr">
        <is>
          <t>09/05/2026 08:51</t>
        </is>
      </c>
      <c r="C83" s="8" t="inlineStr">
        <is>
          <t>Isadora</t>
        </is>
      </c>
      <c r="D83" s="8" t="inlineStr">
        <is>
          <t>alojamento conjunto</t>
        </is>
      </c>
      <c r="E83" s="8" t="inlineStr">
        <is>
          <t>problema com salutem</t>
        </is>
      </c>
      <c r="F83" s="6" t="inlineStr">
        <is>
          <t>Alta</t>
        </is>
      </c>
      <c r="G83" s="7" t="inlineStr">
        <is>
          <t>Aberto</t>
        </is>
      </c>
    </row>
    <row r="84" ht="35" customHeight="1">
      <c r="A84" s="5" t="inlineStr">
        <is>
          <t>CH-2026-0083</t>
        </is>
      </c>
      <c r="B84" s="5" t="inlineStr">
        <is>
          <t>09/05/2026 09:36</t>
        </is>
      </c>
      <c r="C84" s="5" t="inlineStr">
        <is>
          <t>Paulina</t>
        </is>
      </c>
      <c r="D84" s="5" t="inlineStr">
        <is>
          <t>ala C</t>
        </is>
      </c>
      <c r="E84" s="5" t="inlineStr">
        <is>
          <t>impressora não funciona</t>
        </is>
      </c>
      <c r="F84" s="6" t="inlineStr">
        <is>
          <t>Alta</t>
        </is>
      </c>
      <c r="G84" s="7" t="inlineStr">
        <is>
          <t>Aberto</t>
        </is>
      </c>
    </row>
    <row r="85" ht="35" customHeight="1">
      <c r="A85" s="8" t="inlineStr">
        <is>
          <t>CH-2026-0084</t>
        </is>
      </c>
      <c r="B85" s="8" t="inlineStr">
        <is>
          <t>09/05/2026 10:06</t>
        </is>
      </c>
      <c r="C85" s="8" t="inlineStr">
        <is>
          <t>Varton</t>
        </is>
      </c>
      <c r="D85" s="8" t="inlineStr">
        <is>
          <t>SPA</t>
        </is>
      </c>
      <c r="E85" s="8" t="inlineStr">
        <is>
          <t>trocar toner da impressora da ortopedia</t>
        </is>
      </c>
      <c r="F85" s="6" t="inlineStr">
        <is>
          <t>Alta</t>
        </is>
      </c>
      <c r="G85" s="7" t="inlineStr">
        <is>
          <t>Aberto</t>
        </is>
      </c>
    </row>
    <row r="86" ht="35" customHeight="1">
      <c r="A86" s="5" t="inlineStr">
        <is>
          <t>CH-2026-0085</t>
        </is>
      </c>
      <c r="B86" s="5" t="inlineStr">
        <is>
          <t>09/05/2026 12:01</t>
        </is>
      </c>
      <c r="C86" s="5" t="inlineStr">
        <is>
          <t>MAYARA</t>
        </is>
      </c>
      <c r="D86" s="5" t="inlineStr">
        <is>
          <t>NIR</t>
        </is>
      </c>
      <c r="E86" s="5" t="inlineStr">
        <is>
          <t>SCANNER COM ATOLAMENTO DE PAPEL</t>
        </is>
      </c>
      <c r="F86" s="6" t="inlineStr">
        <is>
          <t>Alta</t>
        </is>
      </c>
      <c r="G86" s="7" t="inlineStr">
        <is>
          <t>Aberto</t>
        </is>
      </c>
    </row>
    <row r="87" ht="35" customHeight="1">
      <c r="A87" s="8" t="inlineStr">
        <is>
          <t>CH-2026-0086</t>
        </is>
      </c>
      <c r="B87" s="8" t="inlineStr">
        <is>
          <t>09/05/2026 13:54</t>
        </is>
      </c>
      <c r="C87" s="8" t="inlineStr">
        <is>
          <t>Katiane</t>
        </is>
      </c>
      <c r="D87" s="8" t="inlineStr">
        <is>
          <t>CPN</t>
        </is>
      </c>
      <c r="E87" s="8" t="inlineStr">
        <is>
          <t>impressora do posto não está imprimindo</t>
        </is>
      </c>
      <c r="F87" s="6" t="inlineStr">
        <is>
          <t>Alta</t>
        </is>
      </c>
      <c r="G87" s="7" t="inlineStr">
        <is>
          <t>Aberto</t>
        </is>
      </c>
    </row>
    <row r="88" ht="35" customHeight="1">
      <c r="A88" s="5" t="inlineStr">
        <is>
          <t>CH-2026-0087</t>
        </is>
      </c>
      <c r="B88" s="5" t="inlineStr">
        <is>
          <t>09/05/2026 13:55</t>
        </is>
      </c>
      <c r="C88" s="5" t="inlineStr">
        <is>
          <t>Varton</t>
        </is>
      </c>
      <c r="D88" s="5" t="inlineStr">
        <is>
          <t>SPA sala do ECG</t>
        </is>
      </c>
      <c r="E88" s="5" t="inlineStr">
        <is>
          <t>sala do ECG sem internet</t>
        </is>
      </c>
      <c r="F88" s="6" t="inlineStr">
        <is>
          <t>Alta</t>
        </is>
      </c>
      <c r="G88" s="7" t="inlineStr">
        <is>
          <t>Aberto</t>
        </is>
      </c>
    </row>
    <row r="89" ht="35" customHeight="1">
      <c r="A89" s="8" t="inlineStr">
        <is>
          <t>CH-2026-0088</t>
        </is>
      </c>
      <c r="B89" s="8" t="inlineStr">
        <is>
          <t>09/05/2026 13:56</t>
        </is>
      </c>
      <c r="C89" s="8" t="inlineStr">
        <is>
          <t>Thaynara</t>
        </is>
      </c>
      <c r="D89" s="8" t="inlineStr">
        <is>
          <t>Ala B</t>
        </is>
      </c>
      <c r="E89" s="8" t="inlineStr">
        <is>
          <t>Impressora não está funcionando devidamente</t>
        </is>
      </c>
      <c r="F89" s="6" t="inlineStr">
        <is>
          <t>Alta</t>
        </is>
      </c>
      <c r="G89" s="7" t="inlineStr">
        <is>
          <t>Aberto</t>
        </is>
      </c>
    </row>
    <row r="90" ht="35" customHeight="1">
      <c r="A90" s="5" t="inlineStr">
        <is>
          <t>CH-2026-0089</t>
        </is>
      </c>
      <c r="B90" s="5" t="inlineStr">
        <is>
          <t>09/05/2026 13:57</t>
        </is>
      </c>
      <c r="C90" s="5" t="inlineStr">
        <is>
          <t>Luzanira</t>
        </is>
      </c>
      <c r="D90" s="5" t="inlineStr">
        <is>
          <t>SPA</t>
        </is>
      </c>
      <c r="E90" s="5" t="inlineStr">
        <is>
          <t>Totem sem papel</t>
        </is>
      </c>
      <c r="F90" s="6" t="inlineStr">
        <is>
          <t>Alta</t>
        </is>
      </c>
      <c r="G90" s="7" t="inlineStr">
        <is>
          <t>Aberto</t>
        </is>
      </c>
    </row>
    <row r="91" ht="35" customHeight="1">
      <c r="A91" s="8" t="inlineStr">
        <is>
          <t>CH-2026-0090</t>
        </is>
      </c>
      <c r="B91" s="8" t="inlineStr">
        <is>
          <t>09/05/2026 14:55</t>
        </is>
      </c>
      <c r="C91" s="8" t="inlineStr">
        <is>
          <t>Keyla</t>
        </is>
      </c>
      <c r="D91" s="8" t="inlineStr">
        <is>
          <t>PA obstétrico</t>
        </is>
      </c>
      <c r="E91" s="8" t="inlineStr">
        <is>
          <t>Totem sem funcionar</t>
        </is>
      </c>
      <c r="F91" s="6" t="inlineStr">
        <is>
          <t>Alta</t>
        </is>
      </c>
      <c r="G91" s="7" t="inlineStr">
        <is>
          <t>Aberto</t>
        </is>
      </c>
    </row>
    <row r="92" ht="35" customHeight="1">
      <c r="A92" s="5" t="inlineStr">
        <is>
          <t>CH-2026-0091</t>
        </is>
      </c>
      <c r="B92" s="5" t="inlineStr">
        <is>
          <t>09/05/2026 16:11</t>
        </is>
      </c>
      <c r="C92" s="5" t="inlineStr">
        <is>
          <t>Camila</t>
        </is>
      </c>
      <c r="D92" s="5" t="inlineStr">
        <is>
          <t>sala vermelha</t>
        </is>
      </c>
      <c r="E92" s="5" t="inlineStr">
        <is>
          <t>computador sem internet</t>
        </is>
      </c>
      <c r="F92" s="6" t="inlineStr">
        <is>
          <t>Alta</t>
        </is>
      </c>
      <c r="G92" s="7" t="inlineStr">
        <is>
          <t>Aberto</t>
        </is>
      </c>
    </row>
    <row r="93" ht="35" customHeight="1">
      <c r="A93" s="8" t="inlineStr">
        <is>
          <t>CH-2026-0092</t>
        </is>
      </c>
      <c r="B93" s="8" t="inlineStr">
        <is>
          <t>09/05/2026 18:13</t>
        </is>
      </c>
      <c r="C93" s="8" t="inlineStr">
        <is>
          <t>Isadora</t>
        </is>
      </c>
      <c r="D93" s="8" t="inlineStr">
        <is>
          <t>alojamento conjunto</t>
        </is>
      </c>
      <c r="E93" s="8" t="inlineStr">
        <is>
          <t>problema na impressora</t>
        </is>
      </c>
      <c r="F93" s="6" t="inlineStr">
        <is>
          <t>Alta</t>
        </is>
      </c>
      <c r="G93" s="7" t="inlineStr">
        <is>
          <t>Aberto</t>
        </is>
      </c>
    </row>
    <row r="94" ht="35" customHeight="1">
      <c r="A94" s="5" t="inlineStr">
        <is>
          <t>CH-2026-0093</t>
        </is>
      </c>
      <c r="B94" s="5" t="inlineStr">
        <is>
          <t>09/05/2026 19:03</t>
        </is>
      </c>
      <c r="C94" s="5" t="inlineStr">
        <is>
          <t>Aurelandia</t>
        </is>
      </c>
      <c r="D94" s="5" t="inlineStr">
        <is>
          <t>alojamento conjunto</t>
        </is>
      </c>
      <c r="E94" s="5" t="inlineStr">
        <is>
          <t>problema na impressora desde de 17:00 segunda informação....</t>
        </is>
      </c>
      <c r="F94" s="6" t="inlineStr">
        <is>
          <t>Alta</t>
        </is>
      </c>
      <c r="G94" s="7" t="inlineStr">
        <is>
          <t>Aberto</t>
        </is>
      </c>
    </row>
    <row r="95" ht="35" customHeight="1">
      <c r="A95" s="8" t="inlineStr">
        <is>
          <t>CH-2026-0094</t>
        </is>
      </c>
      <c r="B95" s="8" t="inlineStr">
        <is>
          <t>09/05/2026 19:49</t>
        </is>
      </c>
      <c r="C95" s="8" t="inlineStr">
        <is>
          <t>Aurelandia</t>
        </is>
      </c>
      <c r="D95" s="8" t="inlineStr">
        <is>
          <t>alojamento conjunto</t>
        </is>
      </c>
      <c r="E95" s="8" t="inlineStr">
        <is>
          <t>Troca de Tonner</t>
        </is>
      </c>
      <c r="F95" s="6" t="inlineStr">
        <is>
          <t>Alta</t>
        </is>
      </c>
      <c r="G95" s="7" t="inlineStr">
        <is>
          <t>Aberto</t>
        </is>
      </c>
    </row>
    <row r="96" ht="35" customHeight="1">
      <c r="A96" s="5" t="inlineStr">
        <is>
          <t>CH-2026-0095</t>
        </is>
      </c>
      <c r="B96" s="5" t="inlineStr">
        <is>
          <t>09/05/2026 19:50</t>
        </is>
      </c>
      <c r="C96" s="5" t="inlineStr">
        <is>
          <t>Wanderson</t>
        </is>
      </c>
      <c r="D96" s="5" t="inlineStr">
        <is>
          <t>Laboratório</t>
        </is>
      </c>
      <c r="E96" s="5" t="inlineStr">
        <is>
          <t>Troca de Tonner</t>
        </is>
      </c>
      <c r="F96" s="6" t="inlineStr">
        <is>
          <t>Alta</t>
        </is>
      </c>
      <c r="G96" s="7" t="inlineStr">
        <is>
          <t>Aberto</t>
        </is>
      </c>
    </row>
    <row r="97" ht="35" customHeight="1">
      <c r="A97" s="8" t="inlineStr">
        <is>
          <t>CH-2026-0096</t>
        </is>
      </c>
      <c r="B97" s="8" t="inlineStr">
        <is>
          <t>09/05/2026 21:05</t>
        </is>
      </c>
      <c r="C97" s="8" t="inlineStr">
        <is>
          <t>Paula</t>
        </is>
      </c>
      <c r="D97" s="8" t="inlineStr">
        <is>
          <t>Ala C</t>
        </is>
      </c>
      <c r="E97" s="8" t="inlineStr">
        <is>
          <t>problema na impressora</t>
        </is>
      </c>
      <c r="F97" s="6" t="inlineStr">
        <is>
          <t>Alta</t>
        </is>
      </c>
      <c r="G97" s="7" t="inlineStr">
        <is>
          <t>Aberto</t>
        </is>
      </c>
    </row>
    <row r="98" ht="35" customHeight="1">
      <c r="A98" s="5" t="inlineStr">
        <is>
          <t>CH-2026-0097</t>
        </is>
      </c>
      <c r="B98" s="5" t="inlineStr">
        <is>
          <t>09/05/2026 21:28</t>
        </is>
      </c>
      <c r="C98" s="5" t="inlineStr">
        <is>
          <t>Aurelandia</t>
        </is>
      </c>
      <c r="D98" s="5" t="inlineStr">
        <is>
          <t>alojamento conjunto</t>
        </is>
      </c>
      <c r="E98" s="5" t="inlineStr">
        <is>
          <t>problema na impressora não está imprimindo na impressora da Ala D , enviando e não está imprimindo.</t>
        </is>
      </c>
      <c r="F98" s="6" t="inlineStr">
        <is>
          <t>Alta</t>
        </is>
      </c>
      <c r="G98" s="7" t="inlineStr">
        <is>
          <t>Aberto</t>
        </is>
      </c>
    </row>
    <row r="99" ht="35" customHeight="1">
      <c r="A99" s="8" t="inlineStr">
        <is>
          <t>CH-2026-0098</t>
        </is>
      </c>
      <c r="B99" s="8" t="inlineStr">
        <is>
          <t>10/05/2026 07:16</t>
        </is>
      </c>
      <c r="C99" s="8" t="inlineStr">
        <is>
          <t>Aurelandia</t>
        </is>
      </c>
      <c r="D99" s="8" t="inlineStr">
        <is>
          <t>alojamento conjunto</t>
        </is>
      </c>
      <c r="E99" s="8" t="inlineStr">
        <is>
          <t>A Dra Gabrielly obstétrica está entrando no sistema mas não está conseguindo prescrever não tem recepções vinculadas.</t>
        </is>
      </c>
      <c r="F99" s="6" t="inlineStr">
        <is>
          <t>Alta</t>
        </is>
      </c>
      <c r="G99" s="7" t="inlineStr">
        <is>
          <t>Aberto</t>
        </is>
      </c>
    </row>
    <row r="100" ht="35" customHeight="1">
      <c r="A100" s="5" t="inlineStr">
        <is>
          <t>CH-2026-0099</t>
        </is>
      </c>
      <c r="B100" s="5" t="inlineStr">
        <is>
          <t>10/05/2026 07:32</t>
        </is>
      </c>
      <c r="C100" s="5" t="inlineStr">
        <is>
          <t>Gilnária</t>
        </is>
      </c>
      <c r="D100" s="5" t="inlineStr">
        <is>
          <t>Prioridade: Alta</t>
        </is>
      </c>
      <c r="E100" s="5" t="inlineStr">
        <is>
          <t>Impressora não imprimeEditada</t>
        </is>
      </c>
      <c r="F100" s="6" t="inlineStr">
        <is>
          <t>Alta</t>
        </is>
      </c>
      <c r="G100" s="7" t="inlineStr">
        <is>
          <t>Aberto</t>
        </is>
      </c>
    </row>
    <row r="101" ht="35" customHeight="1">
      <c r="A101" s="8" t="inlineStr">
        <is>
          <t>CH-2026-0100</t>
        </is>
      </c>
      <c r="B101" s="8" t="inlineStr">
        <is>
          <t>10/05/2026 09:59</t>
        </is>
      </c>
      <c r="C101" s="8" t="inlineStr">
        <is>
          <t>LIDIANNA</t>
        </is>
      </c>
      <c r="D101" s="8" t="inlineStr">
        <is>
          <t>ala A</t>
        </is>
      </c>
      <c r="E101" s="8" t="inlineStr">
        <is>
          <t>Impressora não funciona</t>
        </is>
      </c>
      <c r="F101" s="6" t="inlineStr">
        <is>
          <t>Alta</t>
        </is>
      </c>
      <c r="G101" s="7" t="inlineStr">
        <is>
          <t>Aberto</t>
        </is>
      </c>
    </row>
    <row r="102" ht="35" customHeight="1">
      <c r="A102" s="5" t="inlineStr">
        <is>
          <t>CH-2026-0101</t>
        </is>
      </c>
      <c r="B102" s="5" t="inlineStr">
        <is>
          <t>10/05/2026 11:17</t>
        </is>
      </c>
      <c r="C102" s="5" t="inlineStr">
        <is>
          <t>ADRIANA</t>
        </is>
      </c>
      <c r="D102" s="5" t="inlineStr">
        <is>
          <t>NIR</t>
        </is>
      </c>
      <c r="E102" s="5" t="inlineStr">
        <is>
          <t>COMPUTADOR DA MÉDICA SEM LIGAR</t>
        </is>
      </c>
      <c r="F102" s="6" t="inlineStr">
        <is>
          <t>Alta</t>
        </is>
      </c>
      <c r="G102" s="7" t="inlineStr">
        <is>
          <t>Aberto</t>
        </is>
      </c>
    </row>
    <row r="103" ht="35" customHeight="1">
      <c r="A103" s="8" t="inlineStr">
        <is>
          <t>CH-2026-0102</t>
        </is>
      </c>
      <c r="B103" s="8" t="inlineStr">
        <is>
          <t>10/05/2026 12:37</t>
        </is>
      </c>
      <c r="C103" s="8" t="inlineStr">
        <is>
          <t>Adilma</t>
        </is>
      </c>
      <c r="D103" s="8" t="inlineStr">
        <is>
          <t>Ala B</t>
        </is>
      </c>
      <c r="E103" s="8" t="inlineStr">
        <is>
          <t>impressora não está funcionando.</t>
        </is>
      </c>
      <c r="F103" s="6" t="inlineStr">
        <is>
          <t>Alta</t>
        </is>
      </c>
      <c r="G103" s="7" t="inlineStr">
        <is>
          <t>Aberto</t>
        </is>
      </c>
    </row>
    <row r="104" ht="35" customHeight="1">
      <c r="A104" s="5" t="inlineStr">
        <is>
          <t>CH-2026-0103</t>
        </is>
      </c>
      <c r="B104" s="5" t="inlineStr">
        <is>
          <t>13/05/2026 14:14</t>
        </is>
      </c>
      <c r="C104" s="5" t="inlineStr">
        <is>
          <t>Maria Clara</t>
        </is>
      </c>
      <c r="D104" s="5" t="inlineStr">
        <is>
          <t>Alojamento conjunto</t>
        </is>
      </c>
      <c r="E104" s="5" t="inlineStr">
        <is>
          <t>impressora não imprime</t>
        </is>
      </c>
      <c r="F104" s="6" t="inlineStr">
        <is>
          <t>Alta</t>
        </is>
      </c>
      <c r="G104" s="7" t="inlineStr">
        <is>
          <t>Aberto</t>
        </is>
      </c>
    </row>
    <row r="105" ht="35" customHeight="1">
      <c r="A105" s="8" t="inlineStr">
        <is>
          <t>CH-2026-0104</t>
        </is>
      </c>
      <c r="B105" s="8" t="inlineStr">
        <is>
          <t>13/05/2026 14:24</t>
        </is>
      </c>
      <c r="C105" s="8" t="inlineStr">
        <is>
          <t>Alana</t>
        </is>
      </c>
      <c r="D105" s="8" t="inlineStr">
        <is>
          <t>Laboratório</t>
        </is>
      </c>
      <c r="E105" s="8" t="inlineStr">
        <is>
          <t>impressora não imprime</t>
        </is>
      </c>
      <c r="F105" s="6" t="inlineStr">
        <is>
          <t>Alta</t>
        </is>
      </c>
      <c r="G105" s="7" t="inlineStr">
        <is>
          <t>Aberto</t>
        </is>
      </c>
    </row>
    <row r="106" ht="35" customHeight="1">
      <c r="A106" s="5" t="inlineStr">
        <is>
          <t>CH-2026-0105</t>
        </is>
      </c>
      <c r="B106" s="5" t="inlineStr">
        <is>
          <t>13/05/2026 14:28</t>
        </is>
      </c>
      <c r="C106" s="5" t="inlineStr">
        <is>
          <t>Jarlândia</t>
        </is>
      </c>
      <c r="D106" s="5" t="inlineStr">
        <is>
          <t>CPN</t>
        </is>
      </c>
      <c r="E106" s="5" t="inlineStr">
        <is>
          <t>totem não está imprimindo</t>
        </is>
      </c>
      <c r="F106" s="6" t="inlineStr">
        <is>
          <t>Alta</t>
        </is>
      </c>
      <c r="G106" s="7" t="inlineStr">
        <is>
          <t>Aberto</t>
        </is>
      </c>
    </row>
    <row r="107" ht="35" customHeight="1">
      <c r="A107" s="8" t="inlineStr">
        <is>
          <t>CH-2026-0106</t>
        </is>
      </c>
      <c r="B107" s="8" t="inlineStr">
        <is>
          <t>13/05/2026 14:28</t>
        </is>
      </c>
      <c r="C107" s="8" t="inlineStr">
        <is>
          <t>Maria Linete</t>
        </is>
      </c>
      <c r="D107" s="8" t="inlineStr">
        <is>
          <t>PAPED</t>
        </is>
      </c>
      <c r="E107" s="8" t="inlineStr">
        <is>
          <t>Computador sem internet</t>
        </is>
      </c>
      <c r="F107" s="6" t="inlineStr">
        <is>
          <t>Alta</t>
        </is>
      </c>
      <c r="G107" s="7" t="inlineStr">
        <is>
          <t>Aberto</t>
        </is>
      </c>
    </row>
    <row r="108" ht="35" customHeight="1">
      <c r="A108" s="5" t="inlineStr">
        <is>
          <t>CH-2026-0107</t>
        </is>
      </c>
      <c r="B108" s="5" t="inlineStr">
        <is>
          <t>13/05/2026 14:32</t>
        </is>
      </c>
      <c r="C108" s="5" t="inlineStr">
        <is>
          <t>Daniely</t>
        </is>
      </c>
      <c r="D108" s="5" t="inlineStr">
        <is>
          <t>nutrição</t>
        </is>
      </c>
      <c r="E108" s="5" t="inlineStr">
        <is>
          <t>impressora offline</t>
        </is>
      </c>
      <c r="F108" s="12" t="inlineStr">
        <is>
          <t>Média</t>
        </is>
      </c>
      <c r="G108" s="7" t="inlineStr">
        <is>
          <t>Aberto</t>
        </is>
      </c>
    </row>
    <row r="109" ht="35" customHeight="1">
      <c r="A109" s="8" t="inlineStr">
        <is>
          <t>CH-2026-0108</t>
        </is>
      </c>
      <c r="B109" s="8" t="inlineStr">
        <is>
          <t>13/05/2026 14:48</t>
        </is>
      </c>
      <c r="C109" s="8" t="inlineStr">
        <is>
          <t>Jaine</t>
        </is>
      </c>
      <c r="D109" s="8" t="inlineStr">
        <is>
          <t>pediatria (ala D)</t>
        </is>
      </c>
      <c r="E109" s="8" t="inlineStr">
        <is>
          <t>computador sem internet</t>
        </is>
      </c>
      <c r="F109" s="6" t="inlineStr">
        <is>
          <t>Alta</t>
        </is>
      </c>
      <c r="G109" s="7" t="inlineStr">
        <is>
          <t>Aberto</t>
        </is>
      </c>
    </row>
    <row r="110" ht="35" customHeight="1">
      <c r="A110" s="5" t="inlineStr">
        <is>
          <t>CH-2026-0109</t>
        </is>
      </c>
      <c r="B110" s="5" t="inlineStr">
        <is>
          <t>13/05/2026 15:01</t>
        </is>
      </c>
      <c r="C110" s="5" t="inlineStr">
        <is>
          <t>Lara</t>
        </is>
      </c>
      <c r="D110" s="5" t="inlineStr">
        <is>
          <t>recepção cpn</t>
        </is>
      </c>
      <c r="E110" s="5" t="inlineStr">
        <is>
          <t>totem não está funcionando</t>
        </is>
      </c>
      <c r="F110" s="6" t="inlineStr">
        <is>
          <t>Alta</t>
        </is>
      </c>
      <c r="G110" s="7" t="inlineStr">
        <is>
          <t>Aberto</t>
        </is>
      </c>
    </row>
    <row r="111" ht="35" customHeight="1">
      <c r="A111" s="8" t="inlineStr">
        <is>
          <t>CH-2026-0110</t>
        </is>
      </c>
      <c r="B111" s="8" t="inlineStr">
        <is>
          <t>13/05/2026 15:04</t>
        </is>
      </c>
      <c r="C111" s="8" t="inlineStr">
        <is>
          <t>Anderson Tiago</t>
        </is>
      </c>
      <c r="D111" s="8" t="inlineStr">
        <is>
          <t>Radiologia</t>
        </is>
      </c>
      <c r="E111" s="8" t="inlineStr">
        <is>
          <t>sala de Raios x sem internet.</t>
        </is>
      </c>
      <c r="F111" s="6" t="inlineStr">
        <is>
          <t>Alta</t>
        </is>
      </c>
      <c r="G111" s="7" t="inlineStr">
        <is>
          <t>Aberto</t>
        </is>
      </c>
    </row>
    <row r="112" ht="35" customHeight="1">
      <c r="A112" s="5" t="inlineStr">
        <is>
          <t>CH-2026-0111</t>
        </is>
      </c>
      <c r="B112" s="5" t="inlineStr">
        <is>
          <t>13/05/2026 19:18</t>
        </is>
      </c>
      <c r="C112" s="5" t="inlineStr">
        <is>
          <t>Marina Leila</t>
        </is>
      </c>
      <c r="D112" s="5" t="inlineStr">
        <is>
          <t>PA Ped</t>
        </is>
      </c>
      <c r="E112" s="5" t="inlineStr">
        <is>
          <t>totem não está imprimindo</t>
        </is>
      </c>
      <c r="F112" s="6" t="inlineStr">
        <is>
          <t>Alta</t>
        </is>
      </c>
      <c r="G112" s="7" t="inlineStr">
        <is>
          <t>Aberto</t>
        </is>
      </c>
    </row>
    <row r="113" ht="35" customHeight="1">
      <c r="A113" s="8" t="inlineStr">
        <is>
          <t>CH-2026-0112</t>
        </is>
      </c>
      <c r="B113" s="8" t="inlineStr">
        <is>
          <t>14/05/2026 01:46</t>
        </is>
      </c>
      <c r="C113" s="8" t="inlineStr">
        <is>
          <t>Andreza</t>
        </is>
      </c>
      <c r="D113" s="8" t="inlineStr">
        <is>
          <t>PA obstetrico</t>
        </is>
      </c>
      <c r="E113" s="8" t="inlineStr">
        <is>
          <t>computador não desliga</t>
        </is>
      </c>
      <c r="F113" s="6" t="inlineStr">
        <is>
          <t>Alta</t>
        </is>
      </c>
      <c r="G113" s="7" t="inlineStr">
        <is>
          <t>Aberto</t>
        </is>
      </c>
    </row>
    <row r="114" ht="35" customHeight="1">
      <c r="A114" s="5" t="inlineStr">
        <is>
          <t>CH-2026-0113</t>
        </is>
      </c>
      <c r="B114" s="5" t="inlineStr">
        <is>
          <t>14/05/2026 05:40</t>
        </is>
      </c>
      <c r="C114" s="5" t="inlineStr">
        <is>
          <t>Eduardo</t>
        </is>
      </c>
      <c r="D114" s="5" t="inlineStr">
        <is>
          <t>CC</t>
        </is>
      </c>
      <c r="E114" s="5" t="inlineStr">
        <is>
          <t>sistema não abre</t>
        </is>
      </c>
      <c r="F114" s="6" t="inlineStr">
        <is>
          <t>Alta</t>
        </is>
      </c>
      <c r="G114" s="7" t="inlineStr">
        <is>
          <t>Aberto</t>
        </is>
      </c>
    </row>
    <row r="115" ht="35" customHeight="1">
      <c r="A115" s="8" t="inlineStr">
        <is>
          <t>CH-2026-0114</t>
        </is>
      </c>
      <c r="B115" s="8" t="inlineStr">
        <is>
          <t>14/05/2026 07:27</t>
        </is>
      </c>
      <c r="C115" s="8" t="inlineStr">
        <is>
          <t>Fernando</t>
        </is>
      </c>
      <c r="D115" s="8" t="inlineStr">
        <is>
          <t>Farmacia Central</t>
        </is>
      </c>
      <c r="E115" s="8" t="inlineStr">
        <is>
          <t>Impressora não imprimindo</t>
        </is>
      </c>
      <c r="F115" s="6" t="inlineStr">
        <is>
          <t>Alta</t>
        </is>
      </c>
      <c r="G115" s="7" t="inlineStr">
        <is>
          <t>Aberto</t>
        </is>
      </c>
    </row>
    <row r="116" ht="35" customHeight="1">
      <c r="A116" s="5" t="inlineStr">
        <is>
          <t>CH-2026-0115</t>
        </is>
      </c>
      <c r="B116" s="5" t="inlineStr">
        <is>
          <t>14/05/2026 07:47</t>
        </is>
      </c>
      <c r="C116" s="5" t="inlineStr">
        <is>
          <t>Ala C</t>
        </is>
      </c>
      <c r="D116" s="5" t="inlineStr"/>
      <c r="E116" s="5" t="inlineStr">
        <is>
          <t>Impressora não imprimindo</t>
        </is>
      </c>
      <c r="F116" s="6" t="inlineStr">
        <is>
          <t>Alta</t>
        </is>
      </c>
      <c r="G116" s="7" t="inlineStr">
        <is>
          <t>Aberto</t>
        </is>
      </c>
    </row>
    <row r="117" ht="35" customHeight="1">
      <c r="A117" s="8" t="inlineStr">
        <is>
          <t>CH-2026-0116</t>
        </is>
      </c>
      <c r="B117" s="8" t="inlineStr">
        <is>
          <t>14/05/2026 07:55</t>
        </is>
      </c>
      <c r="C117" s="8" t="inlineStr">
        <is>
          <t>Mayara</t>
        </is>
      </c>
      <c r="D117" s="8" t="inlineStr">
        <is>
          <t>UTI 01</t>
        </is>
      </c>
      <c r="E117" s="8" t="inlineStr">
        <is>
          <t>Troca de teclado do computador</t>
        </is>
      </c>
      <c r="F117" s="6" t="inlineStr">
        <is>
          <t>Alta</t>
        </is>
      </c>
      <c r="G117" s="7" t="inlineStr">
        <is>
          <t>Aberto</t>
        </is>
      </c>
    </row>
    <row r="118" ht="35" customHeight="1">
      <c r="A118" s="5" t="inlineStr">
        <is>
          <t>CH-2026-0117</t>
        </is>
      </c>
      <c r="B118" s="5" t="inlineStr">
        <is>
          <t>16/05/2026 05:31</t>
        </is>
      </c>
      <c r="C118" s="5" t="inlineStr">
        <is>
          <t>Thais</t>
        </is>
      </c>
      <c r="D118" s="5" t="inlineStr">
        <is>
          <t>UTI 2</t>
        </is>
      </c>
      <c r="E118" s="5" t="inlineStr">
        <is>
          <t>Computador do Fisioterapeuta ta com a tela escura</t>
        </is>
      </c>
      <c r="F118" s="6" t="inlineStr">
        <is>
          <t>Alta</t>
        </is>
      </c>
      <c r="G118" s="7" t="inlineStr">
        <is>
          <t>Aberto</t>
        </is>
      </c>
    </row>
    <row r="119" ht="35" customHeight="1">
      <c r="A119" s="8" t="inlineStr">
        <is>
          <t>CH-2026-0118</t>
        </is>
      </c>
      <c r="B119" s="8" t="inlineStr">
        <is>
          <t>16/05/2026 05:49</t>
        </is>
      </c>
      <c r="C119" s="8" t="inlineStr">
        <is>
          <t>Gleice</t>
        </is>
      </c>
      <c r="D119" s="8" t="inlineStr">
        <is>
          <t>Ala C, posto 1</t>
        </is>
      </c>
      <c r="E119" s="8" t="inlineStr">
        <is>
          <t>não estamos conseguindo imprimir</t>
        </is>
      </c>
      <c r="F119" s="6" t="inlineStr">
        <is>
          <t>Alta</t>
        </is>
      </c>
      <c r="G119" s="7" t="inlineStr">
        <is>
          <t>Aberto</t>
        </is>
      </c>
    </row>
    <row r="120" ht="35" customHeight="1">
      <c r="A120" s="5" t="inlineStr">
        <is>
          <t>CH-2026-0119</t>
        </is>
      </c>
      <c r="B120" s="5" t="inlineStr">
        <is>
          <t>16/05/2026 05:55</t>
        </is>
      </c>
      <c r="C120" s="5" t="inlineStr">
        <is>
          <t>Paula</t>
        </is>
      </c>
      <c r="D120" s="5" t="inlineStr">
        <is>
          <t>Ala C, posto 2</t>
        </is>
      </c>
      <c r="E120" s="5" t="inlineStr">
        <is>
          <t>impressora não liga</t>
        </is>
      </c>
      <c r="F120" s="6" t="inlineStr">
        <is>
          <t>Alta</t>
        </is>
      </c>
      <c r="G120" s="7" t="inlineStr">
        <is>
          <t>Aberto</t>
        </is>
      </c>
    </row>
    <row r="121" ht="35" customHeight="1">
      <c r="A121" s="8" t="inlineStr">
        <is>
          <t>CH-2026-0120</t>
        </is>
      </c>
      <c r="B121" s="8" t="inlineStr">
        <is>
          <t>16/05/2026 08:10</t>
        </is>
      </c>
      <c r="C121" s="8" t="inlineStr">
        <is>
          <t>Gilnária</t>
        </is>
      </c>
      <c r="D121" s="8" t="inlineStr">
        <is>
          <t>Ala C, posto 2</t>
        </is>
      </c>
      <c r="E121" s="8" t="inlineStr">
        <is>
          <t>impressora não imprime</t>
        </is>
      </c>
      <c r="F121" s="6" t="inlineStr">
        <is>
          <t>Alta</t>
        </is>
      </c>
      <c r="G121" s="7" t="inlineStr">
        <is>
          <t>Aberto</t>
        </is>
      </c>
    </row>
    <row r="122" ht="35" customHeight="1">
      <c r="A122" s="5" t="inlineStr">
        <is>
          <t>CH-2026-0121</t>
        </is>
      </c>
      <c r="B122" s="5" t="inlineStr">
        <is>
          <t>16/05/2026 08:31</t>
        </is>
      </c>
      <c r="C122" s="5" t="inlineStr">
        <is>
          <t>Gilnária</t>
        </is>
      </c>
      <c r="D122" s="5" t="inlineStr">
        <is>
          <t>Ala C, posto 2</t>
        </is>
      </c>
      <c r="E122" s="5" t="inlineStr">
        <is>
          <t>impressora não imprime</t>
        </is>
      </c>
      <c r="F122" s="6" t="inlineStr">
        <is>
          <t>Alta</t>
        </is>
      </c>
      <c r="G122" s="7" t="inlineStr">
        <is>
          <t>Aberto</t>
        </is>
      </c>
    </row>
    <row r="123" ht="35" customHeight="1">
      <c r="A123" s="8" t="inlineStr">
        <is>
          <t>CH-2026-0122</t>
        </is>
      </c>
      <c r="B123" s="8" t="inlineStr">
        <is>
          <t>16/05/2026 09:42</t>
        </is>
      </c>
      <c r="C123" s="8" t="inlineStr">
        <is>
          <t>Jones</t>
        </is>
      </c>
      <c r="D123" s="8" t="inlineStr">
        <is>
          <t>S.P.A</t>
        </is>
      </c>
      <c r="E123" s="8" t="inlineStr">
        <is>
          <t>problema o totem,não está imprimindo</t>
        </is>
      </c>
      <c r="F123" s="6" t="inlineStr">
        <is>
          <t>Alta</t>
        </is>
      </c>
      <c r="G123" s="7" t="inlineStr">
        <is>
          <t>Aberto</t>
        </is>
      </c>
    </row>
    <row r="124" ht="35" customHeight="1">
      <c r="A124" s="5" t="inlineStr">
        <is>
          <t>CH-2026-0123</t>
        </is>
      </c>
      <c r="B124" s="5" t="inlineStr">
        <is>
          <t>16/05/2026 11:16</t>
        </is>
      </c>
      <c r="C124" s="5" t="inlineStr">
        <is>
          <t>Joseane</t>
        </is>
      </c>
      <c r="D124" s="5" t="inlineStr">
        <is>
          <t>SALA VERMELHA PEDIÁTRICA</t>
        </is>
      </c>
      <c r="E124" s="5" t="inlineStr">
        <is>
          <t>computador travou</t>
        </is>
      </c>
      <c r="F124" s="6" t="inlineStr">
        <is>
          <t>Alta</t>
        </is>
      </c>
      <c r="G124" s="7" t="inlineStr">
        <is>
          <t>Aberto</t>
        </is>
      </c>
    </row>
    <row r="125" ht="35" customHeight="1">
      <c r="A125" s="8" t="inlineStr">
        <is>
          <t>CH-2026-0124</t>
        </is>
      </c>
      <c r="B125" s="8" t="inlineStr">
        <is>
          <t>16/05/2026 11:32</t>
        </is>
      </c>
      <c r="C125" s="8" t="inlineStr">
        <is>
          <t>Dalila</t>
        </is>
      </c>
      <c r="D125" s="8" t="inlineStr">
        <is>
          <t>PA PED</t>
        </is>
      </c>
      <c r="E125" s="8" t="inlineStr">
        <is>
          <t>totem sem emitir senha</t>
        </is>
      </c>
      <c r="F125" s="6" t="inlineStr">
        <is>
          <t>Alta</t>
        </is>
      </c>
      <c r="G125" s="7" t="inlineStr">
        <is>
          <t>Aberto</t>
        </is>
      </c>
    </row>
    <row r="126" ht="35" customHeight="1">
      <c r="A126" s="5" t="inlineStr">
        <is>
          <t>CH-2026-0125</t>
        </is>
      </c>
      <c r="B126" s="5" t="inlineStr">
        <is>
          <t>16/05/2026 14:06</t>
        </is>
      </c>
      <c r="C126" s="5" t="inlineStr">
        <is>
          <t>Yara</t>
        </is>
      </c>
      <c r="D126" s="5" t="inlineStr">
        <is>
          <t>Ala C posto 2</t>
        </is>
      </c>
      <c r="E126" s="5" t="inlineStr">
        <is>
          <t>Tela do pc invertida</t>
        </is>
      </c>
      <c r="F126" s="6" t="inlineStr">
        <is>
          <t>Alta</t>
        </is>
      </c>
      <c r="G126" s="7" t="inlineStr">
        <is>
          <t>Aberto</t>
        </is>
      </c>
    </row>
    <row r="127" ht="35" customHeight="1">
      <c r="A127" s="8" t="inlineStr">
        <is>
          <t>CH-2026-0126</t>
        </is>
      </c>
      <c r="B127" s="8" t="inlineStr">
        <is>
          <t>16/05/2026 14:28</t>
        </is>
      </c>
      <c r="C127" s="8" t="inlineStr">
        <is>
          <t>Fernando</t>
        </is>
      </c>
      <c r="D127" s="8" t="inlineStr">
        <is>
          <t>Farmacia Central</t>
        </is>
      </c>
      <c r="E127" s="8" t="inlineStr">
        <is>
          <t>Impressora não imprimi</t>
        </is>
      </c>
      <c r="F127" s="6" t="inlineStr">
        <is>
          <t>Alta</t>
        </is>
      </c>
      <c r="G127" s="7" t="inlineStr">
        <is>
          <t>Aberto</t>
        </is>
      </c>
    </row>
    <row r="128" ht="35" customHeight="1">
      <c r="A128" s="5" t="inlineStr">
        <is>
          <t>CH-2026-0127</t>
        </is>
      </c>
      <c r="B128" s="5" t="inlineStr">
        <is>
          <t>16/05/2026 14:36</t>
        </is>
      </c>
      <c r="C128" s="5" t="inlineStr">
        <is>
          <t>Magno</t>
        </is>
      </c>
      <c r="D128" s="5" t="inlineStr">
        <is>
          <t>UTI 2</t>
        </is>
      </c>
      <c r="E128" s="5" t="inlineStr">
        <is>
          <t>impressora com defeito</t>
        </is>
      </c>
      <c r="F128" s="6" t="inlineStr">
        <is>
          <t>Alta</t>
        </is>
      </c>
      <c r="G128" s="7" t="inlineStr">
        <is>
          <t>Aberto</t>
        </is>
      </c>
    </row>
    <row r="129" ht="35" customHeight="1">
      <c r="A129" s="8" t="inlineStr">
        <is>
          <t>CH-2026-0128</t>
        </is>
      </c>
      <c r="B129" s="8" t="inlineStr">
        <is>
          <t>16/05/2026 15:43</t>
        </is>
      </c>
      <c r="C129" s="8" t="inlineStr">
        <is>
          <t>Mayara</t>
        </is>
      </c>
      <c r="D129" s="8" t="inlineStr">
        <is>
          <t>PA ped</t>
        </is>
      </c>
      <c r="E129" s="8" t="inlineStr">
        <is>
          <t>impressora não imprimi as pulseiras</t>
        </is>
      </c>
      <c r="F129" s="6" t="inlineStr">
        <is>
          <t>Alta</t>
        </is>
      </c>
      <c r="G129" s="7" t="inlineStr">
        <is>
          <t>Aberto</t>
        </is>
      </c>
    </row>
    <row r="130" ht="35" customHeight="1">
      <c r="A130" s="5" t="inlineStr">
        <is>
          <t>CH-2026-0129</t>
        </is>
      </c>
      <c r="B130" s="5" t="inlineStr">
        <is>
          <t>16/05/2026 16:59</t>
        </is>
      </c>
      <c r="C130" s="5" t="inlineStr">
        <is>
          <t>Mayara</t>
        </is>
      </c>
      <c r="D130" s="5" t="inlineStr">
        <is>
          <t>PA ped</t>
        </is>
      </c>
      <c r="E130" s="5" t="inlineStr">
        <is>
          <t>impressora não imprimi as pulseiras</t>
        </is>
      </c>
      <c r="F130" s="6" t="inlineStr">
        <is>
          <t>Alta</t>
        </is>
      </c>
      <c r="G130" s="7" t="inlineStr">
        <is>
          <t>Aberto</t>
        </is>
      </c>
    </row>
    <row r="131" ht="35" customHeight="1">
      <c r="A131" s="8" t="inlineStr">
        <is>
          <t>CH-2026-0130</t>
        </is>
      </c>
      <c r="B131" s="8" t="inlineStr">
        <is>
          <t>16/05/2026 18:54</t>
        </is>
      </c>
      <c r="C131" s="8" t="inlineStr">
        <is>
          <t>Alvandete</t>
        </is>
      </c>
      <c r="D131" s="8" t="inlineStr">
        <is>
          <t>ala C posto 1</t>
        </is>
      </c>
      <c r="E131" s="8" t="inlineStr">
        <is>
          <t>computador sem ligar</t>
        </is>
      </c>
      <c r="F131" s="6" t="inlineStr">
        <is>
          <t>Alta</t>
        </is>
      </c>
      <c r="G131" s="7" t="inlineStr">
        <is>
          <t>Aberto</t>
        </is>
      </c>
    </row>
    <row r="132" ht="35" customHeight="1">
      <c r="A132" s="5" t="inlineStr">
        <is>
          <t>CH-2026-0131</t>
        </is>
      </c>
      <c r="B132" s="5" t="inlineStr">
        <is>
          <t>16/05/2026 20:55</t>
        </is>
      </c>
      <c r="C132" s="5" t="inlineStr">
        <is>
          <t>enf Laécio</t>
        </is>
      </c>
      <c r="D132" s="5" t="inlineStr">
        <is>
          <t>UTI 2</t>
        </is>
      </c>
      <c r="E132" s="5" t="inlineStr">
        <is>
          <t>computador não está imprimindo</t>
        </is>
      </c>
      <c r="F132" s="6" t="inlineStr">
        <is>
          <t>Alta</t>
        </is>
      </c>
      <c r="G132" s="7" t="inlineStr">
        <is>
          <t>Aberto</t>
        </is>
      </c>
    </row>
    <row r="133" ht="35" customHeight="1">
      <c r="A133" s="8" t="inlineStr">
        <is>
          <t>CH-2026-0132</t>
        </is>
      </c>
      <c r="B133" s="8" t="inlineStr">
        <is>
          <t>17/05/2026 07:38</t>
        </is>
      </c>
      <c r="C133" s="8" t="inlineStr">
        <is>
          <t>Alana</t>
        </is>
      </c>
      <c r="D133" s="8" t="inlineStr">
        <is>
          <t>Laboratório</t>
        </is>
      </c>
      <c r="E133" s="8" t="inlineStr">
        <is>
          <t>Impressora</t>
        </is>
      </c>
      <c r="F133" s="6" t="inlineStr">
        <is>
          <t>Alta</t>
        </is>
      </c>
      <c r="G133" s="7" t="inlineStr">
        <is>
          <t>Aberto</t>
        </is>
      </c>
    </row>
    <row r="134" ht="35" customHeight="1">
      <c r="A134" s="5" t="inlineStr">
        <is>
          <t>CH-2026-0133</t>
        </is>
      </c>
      <c r="B134" s="5" t="inlineStr">
        <is>
          <t>17/05/2026 08:16</t>
        </is>
      </c>
      <c r="C134" s="5" t="inlineStr">
        <is>
          <t>Fernanda</t>
        </is>
      </c>
      <c r="D134" s="5" t="inlineStr">
        <is>
          <t>nutrição</t>
        </is>
      </c>
      <c r="E134" s="5" t="inlineStr">
        <is>
          <t>pc não imprime</t>
        </is>
      </c>
      <c r="F134" s="6" t="inlineStr">
        <is>
          <t>Alta</t>
        </is>
      </c>
      <c r="G134" s="7" t="inlineStr">
        <is>
          <t>Aberto</t>
        </is>
      </c>
    </row>
    <row r="135" ht="35" customHeight="1">
      <c r="A135" s="8" t="inlineStr">
        <is>
          <t>CH-2026-0134</t>
        </is>
      </c>
      <c r="B135" s="8" t="inlineStr">
        <is>
          <t>17/05/2026 09:34</t>
        </is>
      </c>
      <c r="C135" s="8" t="inlineStr">
        <is>
          <t>Vanessa</t>
        </is>
      </c>
      <c r="D135" s="8" t="inlineStr">
        <is>
          <t>PA PED</t>
        </is>
      </c>
      <c r="E135" s="8" t="inlineStr">
        <is>
          <t>impressora de pulseira</t>
        </is>
      </c>
      <c r="F135" s="6" t="inlineStr">
        <is>
          <t>Alta</t>
        </is>
      </c>
      <c r="G135" s="7" t="inlineStr">
        <is>
          <t>Aberto</t>
        </is>
      </c>
    </row>
    <row r="136" ht="35" customHeight="1">
      <c r="A136" s="5" t="inlineStr">
        <is>
          <t>CH-2026-0135</t>
        </is>
      </c>
      <c r="B136" s="5" t="inlineStr">
        <is>
          <t>17/05/2026 11:01</t>
        </is>
      </c>
      <c r="C136" s="5" t="inlineStr">
        <is>
          <t>Dr. Jurany</t>
        </is>
      </c>
      <c r="D136" s="5" t="inlineStr">
        <is>
          <t>Ala D</t>
        </is>
      </c>
      <c r="E136" s="5" t="inlineStr">
        <is>
          <t>trocar teclado do computador</t>
        </is>
      </c>
      <c r="F136" s="12" t="inlineStr">
        <is>
          <t>Média</t>
        </is>
      </c>
      <c r="G136" s="7" t="inlineStr">
        <is>
          <t>Aberto</t>
        </is>
      </c>
    </row>
    <row r="137" ht="35" customHeight="1">
      <c r="A137" s="8" t="inlineStr">
        <is>
          <t>CH-2026-0136</t>
        </is>
      </c>
      <c r="B137" s="8" t="inlineStr">
        <is>
          <t>17/05/2026 11:04</t>
        </is>
      </c>
      <c r="C137" s="8" t="inlineStr">
        <is>
          <t>Luzanira</t>
        </is>
      </c>
      <c r="D137" s="8" t="inlineStr">
        <is>
          <t>Recepção SPA</t>
        </is>
      </c>
      <c r="E137" s="8" t="inlineStr">
        <is>
          <t>Totem sem imprimir senha</t>
        </is>
      </c>
      <c r="F137" s="6" t="inlineStr">
        <is>
          <t>Alta</t>
        </is>
      </c>
      <c r="G137" s="7" t="inlineStr">
        <is>
          <t>Aberto</t>
        </is>
      </c>
    </row>
    <row r="138" ht="35" customHeight="1">
      <c r="A138" s="5" t="inlineStr">
        <is>
          <t>CH-2026-0137</t>
        </is>
      </c>
      <c r="B138" s="5" t="inlineStr">
        <is>
          <t>17/05/2026 15:01</t>
        </is>
      </c>
      <c r="C138" s="5" t="inlineStr">
        <is>
          <t>Elismaria</t>
        </is>
      </c>
      <c r="D138" s="5" t="inlineStr">
        <is>
          <t>PA.PED</t>
        </is>
      </c>
      <c r="E138" s="5" t="inlineStr">
        <is>
          <t>computador sem imprimir</t>
        </is>
      </c>
      <c r="F138" s="6" t="inlineStr">
        <is>
          <t>Alta</t>
        </is>
      </c>
      <c r="G138" s="7" t="inlineStr">
        <is>
          <t>Aberto</t>
        </is>
      </c>
    </row>
    <row r="139" ht="35" customHeight="1">
      <c r="A139" s="8" t="inlineStr">
        <is>
          <t>CH-2026-0138</t>
        </is>
      </c>
      <c r="B139" s="8" t="inlineStr">
        <is>
          <t>17/05/2026 15:31</t>
        </is>
      </c>
      <c r="C139" s="8" t="inlineStr">
        <is>
          <t>Fernanda</t>
        </is>
      </c>
      <c r="D139" s="8" t="inlineStr">
        <is>
          <t>nutrição</t>
        </is>
      </c>
      <c r="E139" s="8" t="inlineStr">
        <is>
          <t>impressora n imprime</t>
        </is>
      </c>
      <c r="F139" s="6" t="inlineStr">
        <is>
          <t>Alta</t>
        </is>
      </c>
      <c r="G139" s="7" t="inlineStr">
        <is>
          <t>Aberto</t>
        </is>
      </c>
    </row>
    <row r="140" ht="35" customHeight="1">
      <c r="A140" s="5" t="inlineStr">
        <is>
          <t>CH-2026-0139</t>
        </is>
      </c>
      <c r="B140" s="5" t="inlineStr">
        <is>
          <t>17/05/2026 16:07</t>
        </is>
      </c>
      <c r="C140" s="5" t="inlineStr">
        <is>
          <t>Luzanira</t>
        </is>
      </c>
      <c r="D140" s="5" t="inlineStr">
        <is>
          <t>Recepção SPA</t>
        </is>
      </c>
      <c r="E140" s="5" t="inlineStr">
        <is>
          <t>totem sem imprimir</t>
        </is>
      </c>
      <c r="F140" s="6" t="inlineStr">
        <is>
          <t>Alta</t>
        </is>
      </c>
      <c r="G140" s="7" t="inlineStr">
        <is>
          <t>Aberto</t>
        </is>
      </c>
    </row>
  </sheetData>
  <autoFilter ref="A1:G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9" t="inlineStr">
        <is>
          <t>Resumo de Chamados</t>
        </is>
      </c>
    </row>
    <row r="2">
      <c r="A2" s="10" t="n"/>
      <c r="B2" s="10" t="n"/>
    </row>
    <row r="3">
      <c r="A3" s="11" t="inlineStr">
        <is>
          <t>Total de Chamados</t>
        </is>
      </c>
      <c r="B3" s="4">
        <f>COUNTA('Chamados'!A:A)-1</f>
        <v/>
      </c>
    </row>
    <row r="4">
      <c r="A4" s="11" t="inlineStr">
        <is>
          <t>Em Aberto</t>
        </is>
      </c>
      <c r="B4" s="4">
        <f>COUNTIF('Chamados'!G:G,"Aberto")</f>
        <v/>
      </c>
    </row>
    <row r="5">
      <c r="A5" s="11" t="inlineStr">
        <is>
          <t>Em Andamento</t>
        </is>
      </c>
      <c r="B5" s="4">
        <f>COUNTIF('Chamados'!G:G,"Em andamento")</f>
        <v/>
      </c>
    </row>
    <row r="6">
      <c r="A6" s="11" t="inlineStr">
        <is>
          <t>Resolvidos</t>
        </is>
      </c>
      <c r="B6" s="4">
        <f>COUNTIF('Chamados'!G:G,"Resolvido")</f>
        <v/>
      </c>
    </row>
    <row r="7">
      <c r="A7" s="11" t="inlineStr">
        <is>
          <t>Prioridade Alta</t>
        </is>
      </c>
      <c r="B7" s="4">
        <f>COUNTIF('Chamados'!F:F,"Alta")</f>
        <v/>
      </c>
    </row>
    <row r="8">
      <c r="A8" s="11" t="inlineStr">
        <is>
          <t>Prioridade Média</t>
        </is>
      </c>
      <c r="B8" s="4">
        <f>COUNTIF('Chamados'!F:F,"Média")</f>
        <v/>
      </c>
    </row>
    <row r="9">
      <c r="A9" s="11" t="inlineStr">
        <is>
          <t>Prioridade Baixa</t>
        </is>
      </c>
      <c r="B9" s="4">
        <f>COUNTIF('Chamados'!F:F,"Baixa")</f>
        <v/>
      </c>
    </row>
    <row r="10">
      <c r="A10" s="11" t="inlineStr">
        <is>
          <t>Ultima Atualizacao</t>
        </is>
      </c>
      <c r="B10" s="4">
        <f>TEXT(NOW(),"DD/MM/YYYY HH:MM")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2026-05-05T10:15:26Z</dcterms:created>
  <dcterms:modified xsi:type="dcterms:W3CDTF">2026-05-17T19:24:53Z</dcterms:modified>
</cp:coreProperties>
</file>