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  <sheet name="Resumo" sheetId="2" state="visible" r:id="rId2"/>
  </sheets>
  <definedNames>
    <definedName name="_xlnm._FilterDatabase" localSheetId="0" hidden="1">'Chamados'!$A$1:$G$3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4444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0" customWidth="1" min="4" max="4"/>
    <col width="50" customWidth="1" min="5" max="5"/>
    <col width="12" customWidth="1" min="6" max="6"/>
    <col width="14" customWidth="1" min="7" max="7"/>
  </cols>
  <sheetData>
    <row r="1" ht="30" customHeight="1">
      <c r="A1" s="1" t="inlineStr">
        <is>
          <t>ID Chamado</t>
        </is>
      </c>
      <c r="B1" s="1" t="inlineStr">
        <is>
          <t>Data/Hora</t>
        </is>
      </c>
      <c r="C1" s="1" t="inlineStr">
        <is>
          <t>Solicitante</t>
        </is>
      </c>
      <c r="D1" s="1" t="inlineStr">
        <is>
          <t>Setor</t>
        </is>
      </c>
      <c r="E1" s="1" t="inlineStr">
        <is>
          <t>Descrição</t>
        </is>
      </c>
      <c r="F1" s="1" t="inlineStr">
        <is>
          <t>Prioridade</t>
        </is>
      </c>
      <c r="G1" s="1" t="inlineStr">
        <is>
          <t>Status</t>
        </is>
      </c>
    </row>
    <row r="2" ht="35" customHeight="1">
      <c r="A2" s="5" t="inlineStr">
        <is>
          <t>CH-2026-0001</t>
        </is>
      </c>
      <c r="B2" s="5" t="inlineStr">
        <is>
          <t>01/05/2026 12:00</t>
        </is>
      </c>
      <c r="C2" s="5" t="inlineStr">
        <is>
          <t>Maria</t>
        </is>
      </c>
      <c r="D2" s="5" t="inlineStr">
        <is>
          <t>RH</t>
        </is>
      </c>
      <c r="E2" s="5" t="inlineStr">
        <is>
          <t>Teste</t>
        </is>
      </c>
      <c r="F2" s="6" t="inlineStr">
        <is>
          <t>Alta</t>
        </is>
      </c>
      <c r="G2" s="7" t="inlineStr">
        <is>
          <t>Aberto</t>
        </is>
      </c>
    </row>
    <row r="3" ht="35" customHeight="1">
      <c r="A3" s="8" t="inlineStr">
        <is>
          <t>CH-2026-0002</t>
        </is>
      </c>
      <c r="B3" s="8" t="inlineStr">
        <is>
          <t>01/05/2026 12:05</t>
        </is>
      </c>
      <c r="C3" s="8" t="inlineStr">
        <is>
          <t>Joao</t>
        </is>
      </c>
      <c r="D3" s="8" t="inlineStr">
        <is>
          <t>TI</t>
        </is>
      </c>
      <c r="E3" s="8" t="inlineStr">
        <is>
          <t>Teste 2</t>
        </is>
      </c>
      <c r="F3" s="9" t="inlineStr">
        <is>
          <t>Baixa</t>
        </is>
      </c>
      <c r="G3" s="9" t="inlineStr">
        <is>
          <t>Resolvido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📊 Resumo de Chamados</t>
        </is>
      </c>
    </row>
    <row r="3">
      <c r="A3" s="3" t="inlineStr">
        <is>
          <t>Total de Chamados</t>
        </is>
      </c>
      <c r="B3" s="4">
        <f>COUNTA('Chamados'!A:A)-1</f>
        <v/>
      </c>
    </row>
    <row r="4">
      <c r="A4" s="3" t="inlineStr">
        <is>
          <t>Em Aberto</t>
        </is>
      </c>
      <c r="B4" s="4">
        <f>COUNTIF('Chamados'!G:G,"Aberto")</f>
        <v/>
      </c>
    </row>
    <row r="5">
      <c r="A5" s="3" t="inlineStr">
        <is>
          <t>Em Andamento</t>
        </is>
      </c>
      <c r="B5" s="4">
        <f>COUNTIF('Chamados'!G:G,"Em andamento")</f>
        <v/>
      </c>
    </row>
    <row r="6">
      <c r="A6" s="3" t="inlineStr">
        <is>
          <t>Resolvidos</t>
        </is>
      </c>
      <c r="B6" s="4">
        <f>COUNTIF('Chamados'!G:G,"Resolvido")</f>
        <v/>
      </c>
    </row>
    <row r="7">
      <c r="A7" s="3" t="inlineStr">
        <is>
          <t>Prioridade Alta</t>
        </is>
      </c>
      <c r="B7" s="4">
        <f>COUNTIF('Chamados'!F:F,"Alta")</f>
        <v/>
      </c>
    </row>
    <row r="8">
      <c r="A8" s="3" t="inlineStr">
        <is>
          <t>Prioridade Média</t>
        </is>
      </c>
      <c r="B8" s="4">
        <f>COUNTIF('Chamados'!F:F,"Média")</f>
        <v/>
      </c>
    </row>
    <row r="9">
      <c r="A9" s="3" t="inlineStr">
        <is>
          <t>Prioridade Baixa</t>
        </is>
      </c>
      <c r="B9" s="4">
        <f>COUNTIF('Chamados'!F:F,"Baixa")</f>
        <v/>
      </c>
    </row>
    <row r="10">
      <c r="A10" s="3" t="inlineStr">
        <is>
          <t>Última Atualização</t>
        </is>
      </c>
      <c r="B10" s="4">
        <f>TEXT(NOW(),"DD/MM/YYYY HH:MM")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2026-05-01T15:46:39Z</dcterms:created>
  <dcterms:modified xsi:type="dcterms:W3CDTF">2026-05-01T15:46:39Z</dcterms:modified>
</cp:coreProperties>
</file>